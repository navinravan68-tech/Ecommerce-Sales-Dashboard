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navin\OneDrive\Desktop\Excel Practice\"/>
    </mc:Choice>
  </mc:AlternateContent>
  <bookViews>
    <workbookView xWindow="0" yWindow="0" windowWidth="2370" windowHeight="0"/>
  </bookViews>
  <sheets>
    <sheet name="Dashboard" sheetId="2" r:id="rId1"/>
    <sheet name="Ecommerce_Data" sheetId="1" r:id="rId2"/>
  </sheets>
  <definedNames>
    <definedName name="_xlnm._FilterDatabase" localSheetId="1" hidden="1">Ecommerce_Data!$C$1:$C$101</definedName>
    <definedName name="Slicer_Region">#N/A</definedName>
    <definedName name="Slicer_Sales">#N/A</definedName>
  </definedNames>
  <calcPr calcId="162913"/>
  <pivotCaches>
    <pivotCache cacheId="0" r:id="rId3"/>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K4" i="2" l="1"/>
  <c r="G103" i="1"/>
  <c r="G102" i="1"/>
  <c r="K97" i="1"/>
  <c r="K98" i="1"/>
  <c r="K99" i="1"/>
  <c r="K100" i="1"/>
  <c r="K101"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3" i="1"/>
  <c r="K4" i="1"/>
  <c r="K5" i="1"/>
  <c r="K6" i="1"/>
  <c r="K7" i="1"/>
  <c r="K8" i="1"/>
  <c r="K9" i="1"/>
  <c r="K10" i="1"/>
  <c r="K11" i="1"/>
  <c r="K12" i="1"/>
  <c r="K13" i="1"/>
  <c r="K14" i="1"/>
  <c r="K1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 r="K103" i="1" l="1"/>
  <c r="G104" i="1"/>
</calcChain>
</file>

<file path=xl/sharedStrings.xml><?xml version="1.0" encoding="utf-8"?>
<sst xmlns="http://schemas.openxmlformats.org/spreadsheetml/2006/main" count="608" uniqueCount="100">
  <si>
    <t>Order_ID</t>
  </si>
  <si>
    <t>Date</t>
  </si>
  <si>
    <t>Region</t>
  </si>
  <si>
    <t>Customer</t>
  </si>
  <si>
    <t>Product</t>
  </si>
  <si>
    <t>Category</t>
  </si>
  <si>
    <t>Sales</t>
  </si>
  <si>
    <t>Quantity</t>
  </si>
  <si>
    <t>Profit</t>
  </si>
  <si>
    <t>26-01-2024</t>
  </si>
  <si>
    <t>East</t>
  </si>
  <si>
    <t>Anita</t>
  </si>
  <si>
    <t>TV</t>
  </si>
  <si>
    <t>Tech</t>
  </si>
  <si>
    <t>24-01-2024</t>
  </si>
  <si>
    <t>North</t>
  </si>
  <si>
    <t>Karthik</t>
  </si>
  <si>
    <t>Sofa</t>
  </si>
  <si>
    <t>Furniture</t>
  </si>
  <si>
    <t>01-01-2024</t>
  </si>
  <si>
    <t>South</t>
  </si>
  <si>
    <t>Table</t>
  </si>
  <si>
    <t>05-01-2024</t>
  </si>
  <si>
    <t>Ravi</t>
  </si>
  <si>
    <t>Laptop</t>
  </si>
  <si>
    <t>17-02-2024</t>
  </si>
  <si>
    <t>Meena</t>
  </si>
  <si>
    <t>Phone</t>
  </si>
  <si>
    <t>17-01-2024</t>
  </si>
  <si>
    <t>Divya</t>
  </si>
  <si>
    <t>11-02-2024</t>
  </si>
  <si>
    <t>Vijay</t>
  </si>
  <si>
    <t>Chair</t>
  </si>
  <si>
    <t>21-02-2024</t>
  </si>
  <si>
    <t>30-01-2024</t>
  </si>
  <si>
    <t>West</t>
  </si>
  <si>
    <t>Pooja</t>
  </si>
  <si>
    <t>02-01-2024</t>
  </si>
  <si>
    <t>22-02-2024</t>
  </si>
  <si>
    <t>19-01-2024</t>
  </si>
  <si>
    <t>Arun</t>
  </si>
  <si>
    <t>18-01-2024</t>
  </si>
  <si>
    <t>04-02-2024</t>
  </si>
  <si>
    <t>12-02-2024</t>
  </si>
  <si>
    <t>05-02-2024</t>
  </si>
  <si>
    <t>25-01-2024</t>
  </si>
  <si>
    <t>06-02-2024</t>
  </si>
  <si>
    <t>06-01-2024</t>
  </si>
  <si>
    <t>14-01-2024</t>
  </si>
  <si>
    <t>26-02-2024</t>
  </si>
  <si>
    <t>15-01-2024</t>
  </si>
  <si>
    <t>11-01-2024</t>
  </si>
  <si>
    <t>27-02-2024</t>
  </si>
  <si>
    <t>Suresh</t>
  </si>
  <si>
    <t>10-02-2024</t>
  </si>
  <si>
    <t>09-01-2024</t>
  </si>
  <si>
    <t>07-02-2024</t>
  </si>
  <si>
    <t>15-02-2024</t>
  </si>
  <si>
    <t>07-01-2024</t>
  </si>
  <si>
    <t>19-02-2024</t>
  </si>
  <si>
    <t>28-01-2024</t>
  </si>
  <si>
    <t>28-02-2024</t>
  </si>
  <si>
    <t>24-02-2024</t>
  </si>
  <si>
    <t>18-02-2024</t>
  </si>
  <si>
    <t>Priya</t>
  </si>
  <si>
    <t>16-01-2024</t>
  </si>
  <si>
    <t>20-02-2024</t>
  </si>
  <si>
    <t>23-02-2024</t>
  </si>
  <si>
    <t>08-02-2024</t>
  </si>
  <si>
    <t>21-01-2024</t>
  </si>
  <si>
    <t>14-02-2024</t>
  </si>
  <si>
    <t>16-02-2024</t>
  </si>
  <si>
    <t>09-02-2024</t>
  </si>
  <si>
    <t>12-01-2024</t>
  </si>
  <si>
    <t>01-02-2024</t>
  </si>
  <si>
    <t>08-01-2024</t>
  </si>
  <si>
    <t>20-01-2024</t>
  </si>
  <si>
    <t>02-02-2024</t>
  </si>
  <si>
    <t>25-02-2024</t>
  </si>
  <si>
    <t>01-03-2024</t>
  </si>
  <si>
    <t>29-02-2024</t>
  </si>
  <si>
    <t>Highest order value</t>
  </si>
  <si>
    <t>Total Sales</t>
  </si>
  <si>
    <t xml:space="preserve"> Profit</t>
  </si>
  <si>
    <t>Gross Profit</t>
  </si>
  <si>
    <t>Row Labels</t>
  </si>
  <si>
    <t>Grand Total</t>
  </si>
  <si>
    <t>Sum of Sales</t>
  </si>
  <si>
    <t>Loss of Order</t>
  </si>
  <si>
    <t>Top 3 Coustomers</t>
  </si>
  <si>
    <t>status</t>
  </si>
  <si>
    <t>Ecommerce Sales Dashborad</t>
  </si>
  <si>
    <t>Loss</t>
  </si>
  <si>
    <t>Count of Proft</t>
  </si>
  <si>
    <t>Status</t>
  </si>
  <si>
    <t>Percentage of Loss</t>
  </si>
  <si>
    <t>Percentage of Profit</t>
  </si>
  <si>
    <t>₹ 942568</t>
  </si>
  <si>
    <t>₹ 596696</t>
  </si>
  <si>
    <t>₹ 538299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</si>
</sst>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1"/>
      <color theme="1"/>
      <name val="Cambria"/>
      <family val="1"/>
      <scheme val="major"/>
    </font>
    <font>
      <b/>
      <sz val="11"/>
      <color rgb="FFFF0000"/>
      <name val="Calibri"/>
      <family val="2"/>
      <scheme val="minor"/>
    </font>
    <font>
      <b/>
      <sz val="11"/>
      <color rgb="FF00B05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2">
    <xf numFmtId="0" fontId="0" fillId="0" borderId="0" xfId="0"/>
    <xf numFmtId="0" fontId="0" fillId="0" borderId="1" xfId="0" applyBorder="1"/>
    <xf numFmtId="0" fontId="1" fillId="0" borderId="1" xfId="0" applyFont="1" applyBorder="1"/>
    <xf numFmtId="0" fontId="1" fillId="0" borderId="1" xfId="0" applyFont="1" applyFill="1" applyBorder="1"/>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 xfId="0" applyFill="1" applyBorder="1"/>
    <xf numFmtId="0" fontId="0" fillId="3" borderId="0" xfId="0" applyFill="1"/>
    <xf numFmtId="0" fontId="0" fillId="0" borderId="0" xfId="0" pivotButton="1" applyBorder="1"/>
    <xf numFmtId="0" fontId="0" fillId="0" borderId="0" xfId="0" applyBorder="1" applyAlignment="1">
      <alignment horizontal="left"/>
    </xf>
    <xf numFmtId="0" fontId="0" fillId="0" borderId="0" xfId="0" applyNumberFormat="1" applyBorder="1"/>
    <xf numFmtId="0" fontId="0" fillId="3" borderId="0" xfId="0" applyFill="1" applyBorder="1" applyAlignment="1">
      <alignment horizontal="left"/>
    </xf>
    <xf numFmtId="0" fontId="0" fillId="3" borderId="0" xfId="0" applyNumberFormat="1" applyFill="1" applyBorder="1"/>
    <xf numFmtId="0" fontId="0" fillId="4" borderId="0" xfId="0" applyFill="1"/>
    <xf numFmtId="9" fontId="3" fillId="3" borderId="0" xfId="0" applyNumberFormat="1" applyFont="1" applyFill="1"/>
    <xf numFmtId="0" fontId="0" fillId="3" borderId="0" xfId="0" applyNumberFormat="1" applyFill="1"/>
    <xf numFmtId="0" fontId="1" fillId="0" borderId="0" xfId="0" applyFont="1" applyBorder="1" applyAlignment="1">
      <alignment horizontal="left"/>
    </xf>
    <xf numFmtId="9" fontId="4" fillId="4" borderId="0" xfId="0" applyNumberFormat="1" applyFont="1" applyFill="1"/>
    <xf numFmtId="0" fontId="0" fillId="0" borderId="0" xfId="0" applyNumberFormat="1" applyBorder="1" applyAlignment="1">
      <alignment horizontal="right"/>
    </xf>
    <xf numFmtId="0" fontId="1" fillId="0" borderId="1" xfId="0" applyFont="1" applyBorder="1" applyAlignment="1">
      <alignment horizontal="center"/>
    </xf>
    <xf numFmtId="0" fontId="1" fillId="2" borderId="1" xfId="0" applyFont="1" applyFill="1" applyBorder="1" applyAlignment="1">
      <alignment horizontal="center"/>
    </xf>
    <xf numFmtId="0" fontId="0" fillId="0" borderId="2" xfId="0" applyBorder="1" applyAlignment="1">
      <alignment horizontal="center"/>
    </xf>
    <xf numFmtId="0" fontId="2" fillId="4" borderId="0" xfId="0" applyFont="1" applyFill="1" applyAlignment="1">
      <alignment horizontal="center"/>
    </xf>
    <xf numFmtId="0" fontId="1" fillId="3" borderId="0" xfId="0" applyFont="1" applyFill="1" applyBorder="1" applyAlignment="1">
      <alignment horizontal="center"/>
    </xf>
    <xf numFmtId="0" fontId="1" fillId="2" borderId="0" xfId="0" applyFont="1" applyFill="1" applyBorder="1" applyAlignment="1">
      <alignment horizontal="center"/>
    </xf>
    <xf numFmtId="0" fontId="1" fillId="3"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42">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 - 1.xlsx]Ecommerce_Data!PivotTable1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Region-wise Sales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Ecommerce_Data!$C$106</c:f>
              <c:strCache>
                <c:ptCount val="1"/>
                <c:pt idx="0">
                  <c:v>Total</c:v>
                </c:pt>
              </c:strCache>
            </c:strRef>
          </c:tx>
          <c:spPr>
            <a:solidFill>
              <a:schemeClr val="accent1"/>
            </a:solidFill>
            <a:ln>
              <a:noFill/>
            </a:ln>
            <a:effectLst/>
          </c:spPr>
          <c:invertIfNegative val="0"/>
          <c:cat>
            <c:strRef>
              <c:f>Ecommerce_Data!$B$107:$B$111</c:f>
              <c:strCache>
                <c:ptCount val="4"/>
                <c:pt idx="0">
                  <c:v>East</c:v>
                </c:pt>
                <c:pt idx="1">
                  <c:v>North</c:v>
                </c:pt>
                <c:pt idx="2">
                  <c:v>South</c:v>
                </c:pt>
                <c:pt idx="3">
                  <c:v>West</c:v>
                </c:pt>
              </c:strCache>
            </c:strRef>
          </c:cat>
          <c:val>
            <c:numRef>
              <c:f>Ecommerce_Data!$C$107:$C$111</c:f>
              <c:numCache>
                <c:formatCode>General</c:formatCode>
                <c:ptCount val="4"/>
                <c:pt idx="0">
                  <c:v>1145485</c:v>
                </c:pt>
                <c:pt idx="1">
                  <c:v>1227117</c:v>
                </c:pt>
                <c:pt idx="2">
                  <c:v>1134016</c:v>
                </c:pt>
                <c:pt idx="3">
                  <c:v>1309959</c:v>
                </c:pt>
              </c:numCache>
            </c:numRef>
          </c:val>
          <c:extLst>
            <c:ext xmlns:c16="http://schemas.microsoft.com/office/drawing/2014/chart" uri="{C3380CC4-5D6E-409C-BE32-E72D297353CC}">
              <c16:uniqueId val="{00000000-7FFF-4D5B-B9A4-A26D9DC5186E}"/>
            </c:ext>
          </c:extLst>
        </c:ser>
        <c:dLbls>
          <c:showLegendKey val="0"/>
          <c:showVal val="0"/>
          <c:showCatName val="0"/>
          <c:showSerName val="0"/>
          <c:showPercent val="0"/>
          <c:showBubbleSize val="0"/>
        </c:dLbls>
        <c:gapWidth val="182"/>
        <c:axId val="749025631"/>
        <c:axId val="749020639"/>
      </c:barChart>
      <c:catAx>
        <c:axId val="74902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20639"/>
        <c:crosses val="autoZero"/>
        <c:auto val="1"/>
        <c:lblAlgn val="ctr"/>
        <c:lblOffset val="100"/>
        <c:noMultiLvlLbl val="0"/>
      </c:catAx>
      <c:valAx>
        <c:axId val="74902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256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 - 1.xlsx]Ecommerce_Data!PivotTable1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Ecommerce_Data!$C$106</c:f>
              <c:strCache>
                <c:ptCount val="1"/>
                <c:pt idx="0">
                  <c:v>Total</c:v>
                </c:pt>
              </c:strCache>
            </c:strRef>
          </c:tx>
          <c:spPr>
            <a:solidFill>
              <a:schemeClr val="accent1"/>
            </a:solidFill>
            <a:ln>
              <a:noFill/>
            </a:ln>
            <a:effectLst/>
          </c:spPr>
          <c:invertIfNegative val="0"/>
          <c:cat>
            <c:strRef>
              <c:f>Ecommerce_Data!$B$107:$B$111</c:f>
              <c:strCache>
                <c:ptCount val="4"/>
                <c:pt idx="0">
                  <c:v>East</c:v>
                </c:pt>
                <c:pt idx="1">
                  <c:v>North</c:v>
                </c:pt>
                <c:pt idx="2">
                  <c:v>South</c:v>
                </c:pt>
                <c:pt idx="3">
                  <c:v>West</c:v>
                </c:pt>
              </c:strCache>
            </c:strRef>
          </c:cat>
          <c:val>
            <c:numRef>
              <c:f>Ecommerce_Data!$C$107:$C$111</c:f>
              <c:numCache>
                <c:formatCode>General</c:formatCode>
                <c:ptCount val="4"/>
                <c:pt idx="0">
                  <c:v>1145485</c:v>
                </c:pt>
                <c:pt idx="1">
                  <c:v>1227117</c:v>
                </c:pt>
                <c:pt idx="2">
                  <c:v>1134016</c:v>
                </c:pt>
                <c:pt idx="3">
                  <c:v>1309959</c:v>
                </c:pt>
              </c:numCache>
            </c:numRef>
          </c:val>
          <c:extLst>
            <c:ext xmlns:c16="http://schemas.microsoft.com/office/drawing/2014/chart" uri="{C3380CC4-5D6E-409C-BE32-E72D297353CC}">
              <c16:uniqueId val="{00000000-EB47-4653-8FF5-95166379450B}"/>
            </c:ext>
          </c:extLst>
        </c:ser>
        <c:dLbls>
          <c:showLegendKey val="0"/>
          <c:showVal val="0"/>
          <c:showCatName val="0"/>
          <c:showSerName val="0"/>
          <c:showPercent val="0"/>
          <c:showBubbleSize val="0"/>
        </c:dLbls>
        <c:gapWidth val="182"/>
        <c:axId val="749025631"/>
        <c:axId val="749020639"/>
      </c:barChart>
      <c:catAx>
        <c:axId val="74902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20639"/>
        <c:crosses val="autoZero"/>
        <c:auto val="1"/>
        <c:lblAlgn val="ctr"/>
        <c:lblOffset val="100"/>
        <c:noMultiLvlLbl val="0"/>
      </c:catAx>
      <c:valAx>
        <c:axId val="74902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428624</xdr:colOff>
      <xdr:row>4</xdr:row>
      <xdr:rowOff>119062</xdr:rowOff>
    </xdr:from>
    <xdr:to>
      <xdr:col>14</xdr:col>
      <xdr:colOff>390525</xdr:colOff>
      <xdr:row>21</xdr:row>
      <xdr:rowOff>107155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128588</xdr:colOff>
      <xdr:row>15</xdr:row>
      <xdr:rowOff>102394</xdr:rowOff>
    </xdr:from>
    <xdr:to>
      <xdr:col>5</xdr:col>
      <xdr:colOff>166689</xdr:colOff>
      <xdr:row>22</xdr:row>
      <xdr:rowOff>178594</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38401" y="2959894"/>
              <a:ext cx="1824038"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15</xdr:row>
      <xdr:rowOff>104774</xdr:rowOff>
    </xdr:from>
    <xdr:to>
      <xdr:col>8</xdr:col>
      <xdr:colOff>378619</xdr:colOff>
      <xdr:row>22</xdr:row>
      <xdr:rowOff>190499</xdr:rowOff>
    </xdr:to>
    <mc:AlternateContent xmlns:mc="http://schemas.openxmlformats.org/markup-compatibility/2006" xmlns:a14="http://schemas.microsoft.com/office/drawing/2010/main">
      <mc:Choice Requires="a14">
        <xdr:graphicFrame macro="">
          <xdr:nvGraphicFramePr>
            <xdr:cNvPr id="4" name="Sales 1"/>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4855369" y="2962274"/>
              <a:ext cx="1821656"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23</xdr:row>
      <xdr:rowOff>59531</xdr:rowOff>
    </xdr:from>
    <xdr:to>
      <xdr:col>13</xdr:col>
      <xdr:colOff>250031</xdr:colOff>
      <xdr:row>28</xdr:row>
      <xdr:rowOff>11906</xdr:rowOff>
    </xdr:to>
    <xdr:sp macro="" textlink="">
      <xdr:nvSpPr>
        <xdr:cNvPr id="7" name="TextBox 6"/>
        <xdr:cNvSpPr txBox="1"/>
      </xdr:nvSpPr>
      <xdr:spPr>
        <a:xfrm>
          <a:off x="2595563" y="4441031"/>
          <a:ext cx="7453312"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Insights:</a:t>
          </a:r>
        </a:p>
        <a:p>
          <a:r>
            <a:rPr lang="en-US" sz="1400" b="1"/>
            <a:t>1.</a:t>
          </a:r>
          <a:r>
            <a:rPr lang="en-US" sz="1400" b="1" baseline="0"/>
            <a:t> West region has the highest revenue of ₹</a:t>
          </a:r>
          <a:r>
            <a:rPr lang="en-US" sz="1400" b="1" baseline="0">
              <a:solidFill>
                <a:srgbClr val="FF0000"/>
              </a:solidFill>
            </a:rPr>
            <a:t>1309959</a:t>
          </a:r>
          <a:r>
            <a:rPr lang="en-US" sz="1400" b="1" baseline="0">
              <a:solidFill>
                <a:schemeClr val="tx1"/>
              </a:solidFill>
            </a:rPr>
            <a:t>, also highest number of Loss-making, </a:t>
          </a:r>
          <a:r>
            <a:rPr lang="en-US" sz="1400" b="1">
              <a:solidFill>
                <a:schemeClr val="dk1"/>
              </a:solidFill>
              <a:effectLst/>
              <a:latin typeface="+mn-lt"/>
              <a:ea typeface="+mn-ea"/>
              <a:cs typeface="+mn-cs"/>
            </a:rPr>
            <a:t>It suggests we should investigate what’s driving those losses</a:t>
          </a:r>
          <a:endParaRPr lang="en-US" sz="1400" b="1">
            <a:solidFill>
              <a:srgbClr val="FF0000"/>
            </a:solidFill>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166687</xdr:colOff>
      <xdr:row>118</xdr:row>
      <xdr:rowOff>114300</xdr:rowOff>
    </xdr:from>
    <xdr:to>
      <xdr:col>7</xdr:col>
      <xdr:colOff>9525</xdr:colOff>
      <xdr:row>138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47625</xdr:colOff>
      <xdr:row>118</xdr:row>
      <xdr:rowOff>114300</xdr:rowOff>
    </xdr:from>
    <xdr:to>
      <xdr:col>9</xdr:col>
      <xdr:colOff>676275</xdr:colOff>
      <xdr:row>125</xdr:row>
      <xdr:rowOff>161925</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43525" y="22593300"/>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126</xdr:row>
      <xdr:rowOff>9525</xdr:rowOff>
    </xdr:from>
    <xdr:to>
      <xdr:col>9</xdr:col>
      <xdr:colOff>685800</xdr:colOff>
      <xdr:row>138</xdr:row>
      <xdr:rowOff>123825</xdr:rowOff>
    </xdr:to>
    <mc:AlternateContent xmlns:mc="http://schemas.openxmlformats.org/markup-compatibility/2006" xmlns:a14="http://schemas.microsoft.com/office/drawing/2010/main">
      <mc:Choice Requires="a14">
        <xdr:graphicFrame macro="">
          <xdr:nvGraphicFramePr>
            <xdr:cNvPr id="8"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5314950" y="24012525"/>
              <a:ext cx="186690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Navin Ravanan" refreshedDate="46110.822319212966" createdVersion="6" refreshedVersion="6" minRefreshableVersion="3" recordCount="100">
  <cacheSource type="worksheet">
    <worksheetSource ref="A1:I101" sheet="Ecommerce_Data"/>
  </cacheSource>
  <cacheFields count="9">
    <cacheField name="Order_ID" numFmtId="0">
      <sharedItems containsSemiMixedTypes="0" containsString="0" containsNumber="1" containsInteger="1" minValue="1001" maxValue="1100"/>
    </cacheField>
    <cacheField name="Date" numFmtId="0">
      <sharedItems/>
    </cacheField>
    <cacheField name="Region" numFmtId="0">
      <sharedItems count="4">
        <s v="East"/>
        <s v="North"/>
        <s v="South"/>
        <s v="West"/>
      </sharedItems>
    </cacheField>
    <cacheField name="Customer" numFmtId="0">
      <sharedItems count="10">
        <s v="Anita"/>
        <s v="Karthik"/>
        <s v="Ravi"/>
        <s v="Meena"/>
        <s v="Divya"/>
        <s v="Vijay"/>
        <s v="Pooja"/>
        <s v="Arun"/>
        <s v="Suresh"/>
        <s v="Priya"/>
      </sharedItems>
    </cacheField>
    <cacheField name="Product" numFmtId="0">
      <sharedItems/>
    </cacheField>
    <cacheField name="Category" numFmtId="0">
      <sharedItems/>
    </cacheField>
    <cacheField name="Sales" numFmtId="0">
      <sharedItems containsSemiMixedTypes="0" containsString="0" containsNumber="1" containsInteger="1" minValue="3562" maxValue="89856" count="100">
        <n v="88264"/>
        <n v="4567"/>
        <n v="85559"/>
        <n v="85679"/>
        <n v="21640"/>
        <n v="19215"/>
        <n v="34009"/>
        <n v="28523"/>
        <n v="37383"/>
        <n v="67424"/>
        <n v="87686"/>
        <n v="56288"/>
        <n v="48265"/>
        <n v="73059"/>
        <n v="79382"/>
        <n v="30120"/>
        <n v="26691"/>
        <n v="48578"/>
        <n v="22731"/>
        <n v="44882"/>
        <n v="74470"/>
        <n v="88883"/>
        <n v="87156"/>
        <n v="57392"/>
        <n v="68630"/>
        <n v="25764"/>
        <n v="68227"/>
        <n v="38728"/>
        <n v="23343"/>
        <n v="28973"/>
        <n v="76694"/>
        <n v="25160"/>
        <n v="30141"/>
        <n v="29352"/>
        <n v="81531"/>
        <n v="20385"/>
        <n v="9563"/>
        <n v="62611"/>
        <n v="23722"/>
        <n v="8743"/>
        <n v="73102"/>
        <n v="41890"/>
        <n v="89088"/>
        <n v="16125"/>
        <n v="11224"/>
        <n v="3562"/>
        <n v="88155"/>
        <n v="18951"/>
        <n v="23972"/>
        <n v="28347"/>
        <n v="40713"/>
        <n v="69178"/>
        <n v="25761"/>
        <n v="80110"/>
        <n v="37957"/>
        <n v="60195"/>
        <n v="77002"/>
        <n v="45206"/>
        <n v="70909"/>
        <n v="51493"/>
        <n v="79211"/>
        <n v="23446"/>
        <n v="72844"/>
        <n v="14019"/>
        <n v="24556"/>
        <n v="10174"/>
        <n v="32706"/>
        <n v="39161"/>
        <n v="32839"/>
        <n v="72076"/>
        <n v="71931"/>
        <n v="22003"/>
        <n v="88152"/>
        <n v="22837"/>
        <n v="18093"/>
        <n v="27850"/>
        <n v="82160"/>
        <n v="49830"/>
        <n v="89856"/>
        <n v="74560"/>
        <n v="44176"/>
        <n v="82741"/>
        <n v="25093"/>
        <n v="24574"/>
        <n v="42368"/>
        <n v="72501"/>
        <n v="27924"/>
        <n v="75825"/>
        <n v="33092"/>
        <n v="12466"/>
        <n v="58924"/>
        <n v="40065"/>
        <n v="32229"/>
        <n v="51043"/>
        <n v="35679"/>
        <n v="64872"/>
        <n v="81858"/>
        <n v="52093"/>
        <n v="82949"/>
        <n v="55448"/>
      </sharedItems>
    </cacheField>
    <cacheField name="Quantity" numFmtId="0">
      <sharedItems containsSemiMixedTypes="0" containsString="0" containsNumber="1" containsInteger="1" minValue="1" maxValue="3"/>
    </cacheField>
    <cacheField name="Profit" numFmtId="0">
      <sharedItems containsSemiMixedTypes="0" containsString="0" containsNumber="1" containsInteger="1" minValue="-7891" maxValue="2416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Navin Ravanan" refreshedDate="46110.856702314813" createdVersion="6" refreshedVersion="6" minRefreshableVersion="3" recordCount="100">
  <cacheSource type="worksheet">
    <worksheetSource ref="C1:K101" sheet="Ecommerce_Data"/>
  </cacheSource>
  <cacheFields count="9">
    <cacheField name="Region" numFmtId="0">
      <sharedItems count="4">
        <s v="East"/>
        <s v="North"/>
        <s v="South"/>
        <s v="West"/>
      </sharedItems>
    </cacheField>
    <cacheField name="Customer" numFmtId="0">
      <sharedItems/>
    </cacheField>
    <cacheField name="Product" numFmtId="0">
      <sharedItems/>
    </cacheField>
    <cacheField name="Category" numFmtId="0">
      <sharedItems/>
    </cacheField>
    <cacheField name="Sales" numFmtId="0">
      <sharedItems containsSemiMixedTypes="0" containsString="0" containsNumber="1" containsInteger="1" minValue="3562" maxValue="89856"/>
    </cacheField>
    <cacheField name="Quantity" numFmtId="0">
      <sharedItems containsSemiMixedTypes="0" containsString="0" containsNumber="1" containsInteger="1" minValue="1" maxValue="3"/>
    </cacheField>
    <cacheField name="Profit" numFmtId="0">
      <sharedItems containsSemiMixedTypes="0" containsString="0" containsNumber="1" containsInteger="1" minValue="-7891" maxValue="24161" count="99">
        <n v="-7891"/>
        <n v="1346"/>
        <n v="-5785"/>
        <n v="19333"/>
        <n v="3624"/>
        <n v="-1921"/>
        <n v="7202"/>
        <n v="588"/>
        <n v="1302"/>
        <n v="-2989"/>
        <n v="24161"/>
        <n v="9287"/>
        <n v="3132"/>
        <n v="10299"/>
        <n v="-4448"/>
        <n v="4191"/>
        <n v="3723"/>
        <n v="14544"/>
        <n v="6552"/>
        <n v="7418"/>
        <n v="7518"/>
        <n v="8166"/>
        <n v="-2202"/>
        <n v="-2885"/>
        <n v="-5949"/>
        <n v="3687"/>
        <n v="11817"/>
        <n v="6909"/>
        <n v="3918"/>
        <n v="6620"/>
        <n v="17009"/>
        <n v="-260"/>
        <n v="-1035"/>
        <n v="1317"/>
        <n v="4858"/>
        <n v="4929"/>
        <n v="-235"/>
        <n v="-1263"/>
        <n v="7071"/>
        <n v="1762"/>
        <n v="-6473"/>
        <n v="-2922"/>
        <n v="-2573"/>
        <n v="1879"/>
        <n v="-513"/>
        <n v="467"/>
        <n v="8535"/>
        <n v="1255"/>
        <n v="2015"/>
        <n v="4446"/>
        <n v="3925"/>
        <n v="4988"/>
        <n v="2939"/>
        <n v="-1731"/>
        <n v="-3435"/>
        <n v="13599"/>
        <n v="20617"/>
        <n v="11587"/>
        <n v="5179"/>
        <n v="-2469"/>
        <n v="10145"/>
        <n v="-911"/>
        <n v="4526"/>
        <n v="3026"/>
        <n v="3175"/>
        <n v="-141"/>
        <n v="4940"/>
        <n v="-3323"/>
        <n v="2903"/>
        <n v="14417"/>
        <n v="16156"/>
        <n v="5655"/>
        <n v="3846"/>
        <n v="-2236"/>
        <n v="-1537"/>
        <n v="380"/>
        <n v="12575"/>
        <n v="12853"/>
        <n v="-7671"/>
        <n v="7873"/>
        <n v="-3933"/>
        <n v="1812"/>
        <n v="-1078"/>
        <n v="-3150"/>
        <n v="20740"/>
        <n v="-1636"/>
        <n v="12"/>
        <n v="4605"/>
        <n v="1710"/>
        <n v="12840"/>
        <n v="8136"/>
        <n v="7173"/>
        <n v="-1897"/>
        <n v="-234"/>
        <n v="3487"/>
        <n v="-4551"/>
        <n v="11560"/>
        <n v="-1055"/>
        <n v="14994"/>
      </sharedItems>
    </cacheField>
    <cacheField name="Highest order value" numFmtId="0">
      <sharedItems/>
    </cacheField>
    <cacheField name="Profit status" numFmtId="0">
      <sharedItems count="2">
        <s v="Loss"/>
        <s v="Profi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
  <r>
    <n v="1001"/>
    <s v="26-01-2024"/>
    <x v="0"/>
    <x v="0"/>
    <s v="TV"/>
    <s v="Tech"/>
    <x v="0"/>
    <n v="2"/>
    <n v="-7891"/>
  </r>
  <r>
    <n v="1002"/>
    <s v="24-01-2024"/>
    <x v="1"/>
    <x v="1"/>
    <s v="Sofa"/>
    <s v="Furniture"/>
    <x v="1"/>
    <n v="3"/>
    <n v="1346"/>
  </r>
  <r>
    <n v="1003"/>
    <s v="01-01-2024"/>
    <x v="2"/>
    <x v="0"/>
    <s v="Table"/>
    <s v="Furniture"/>
    <x v="2"/>
    <n v="3"/>
    <n v="-5785"/>
  </r>
  <r>
    <n v="1004"/>
    <s v="05-01-2024"/>
    <x v="1"/>
    <x v="2"/>
    <s v="Laptop"/>
    <s v="Tech"/>
    <x v="3"/>
    <n v="2"/>
    <n v="19333"/>
  </r>
  <r>
    <n v="1005"/>
    <s v="17-02-2024"/>
    <x v="2"/>
    <x v="3"/>
    <s v="Phone"/>
    <s v="Tech"/>
    <x v="4"/>
    <n v="3"/>
    <n v="3624"/>
  </r>
  <r>
    <n v="1006"/>
    <s v="17-01-2024"/>
    <x v="2"/>
    <x v="4"/>
    <s v="TV"/>
    <s v="Tech"/>
    <x v="5"/>
    <n v="2"/>
    <n v="-1921"/>
  </r>
  <r>
    <n v="1007"/>
    <s v="11-02-2024"/>
    <x v="1"/>
    <x v="5"/>
    <s v="Chair"/>
    <s v="Furniture"/>
    <x v="6"/>
    <n v="1"/>
    <n v="7202"/>
  </r>
  <r>
    <n v="1008"/>
    <s v="24-01-2024"/>
    <x v="1"/>
    <x v="3"/>
    <s v="Chair"/>
    <s v="Furniture"/>
    <x v="7"/>
    <n v="2"/>
    <n v="588"/>
  </r>
  <r>
    <n v="1009"/>
    <s v="21-02-2024"/>
    <x v="1"/>
    <x v="2"/>
    <s v="Laptop"/>
    <s v="Tech"/>
    <x v="8"/>
    <n v="1"/>
    <n v="1302"/>
  </r>
  <r>
    <n v="1010"/>
    <s v="30-01-2024"/>
    <x v="3"/>
    <x v="6"/>
    <s v="Sofa"/>
    <s v="Furniture"/>
    <x v="9"/>
    <n v="2"/>
    <n v="-2989"/>
  </r>
  <r>
    <n v="1011"/>
    <s v="02-01-2024"/>
    <x v="0"/>
    <x v="5"/>
    <s v="Table"/>
    <s v="Furniture"/>
    <x v="10"/>
    <n v="3"/>
    <n v="24161"/>
  </r>
  <r>
    <n v="1012"/>
    <s v="22-02-2024"/>
    <x v="0"/>
    <x v="1"/>
    <s v="Chair"/>
    <s v="Furniture"/>
    <x v="11"/>
    <n v="1"/>
    <n v="9287"/>
  </r>
  <r>
    <n v="1013"/>
    <s v="19-01-2024"/>
    <x v="3"/>
    <x v="7"/>
    <s v="Table"/>
    <s v="Furniture"/>
    <x v="12"/>
    <n v="3"/>
    <n v="3132"/>
  </r>
  <r>
    <n v="1014"/>
    <s v="18-01-2024"/>
    <x v="3"/>
    <x v="7"/>
    <s v="Sofa"/>
    <s v="Furniture"/>
    <x v="13"/>
    <n v="2"/>
    <n v="10299"/>
  </r>
  <r>
    <n v="1015"/>
    <s v="04-02-2024"/>
    <x v="1"/>
    <x v="1"/>
    <s v="Laptop"/>
    <s v="Tech"/>
    <x v="14"/>
    <n v="1"/>
    <n v="-4448"/>
  </r>
  <r>
    <n v="1016"/>
    <s v="12-02-2024"/>
    <x v="3"/>
    <x v="1"/>
    <s v="Phone"/>
    <s v="Tech"/>
    <x v="15"/>
    <n v="3"/>
    <n v="4191"/>
  </r>
  <r>
    <n v="1017"/>
    <s v="17-02-2024"/>
    <x v="2"/>
    <x v="7"/>
    <s v="TV"/>
    <s v="Tech"/>
    <x v="16"/>
    <n v="3"/>
    <n v="3723"/>
  </r>
  <r>
    <n v="1018"/>
    <s v="05-02-2024"/>
    <x v="0"/>
    <x v="3"/>
    <s v="Phone"/>
    <s v="Tech"/>
    <x v="17"/>
    <n v="2"/>
    <n v="14544"/>
  </r>
  <r>
    <n v="1019"/>
    <s v="19-01-2024"/>
    <x v="0"/>
    <x v="5"/>
    <s v="TV"/>
    <s v="Tech"/>
    <x v="18"/>
    <n v="2"/>
    <n v="6552"/>
  </r>
  <r>
    <n v="1020"/>
    <s v="25-01-2024"/>
    <x v="1"/>
    <x v="6"/>
    <s v="Phone"/>
    <s v="Tech"/>
    <x v="19"/>
    <n v="2"/>
    <n v="7418"/>
  </r>
  <r>
    <n v="1021"/>
    <s v="06-02-2024"/>
    <x v="3"/>
    <x v="0"/>
    <s v="Table"/>
    <s v="Furniture"/>
    <x v="20"/>
    <n v="2"/>
    <n v="7518"/>
  </r>
  <r>
    <n v="1022"/>
    <s v="06-01-2024"/>
    <x v="0"/>
    <x v="1"/>
    <s v="TV"/>
    <s v="Tech"/>
    <x v="21"/>
    <n v="2"/>
    <n v="8166"/>
  </r>
  <r>
    <n v="1023"/>
    <s v="14-01-2024"/>
    <x v="0"/>
    <x v="0"/>
    <s v="Table"/>
    <s v="Furniture"/>
    <x v="22"/>
    <n v="2"/>
    <n v="-2202"/>
  </r>
  <r>
    <n v="1024"/>
    <s v="26-02-2024"/>
    <x v="0"/>
    <x v="0"/>
    <s v="Chair"/>
    <s v="Furniture"/>
    <x v="23"/>
    <n v="3"/>
    <n v="-2885"/>
  </r>
  <r>
    <n v="1025"/>
    <s v="15-01-2024"/>
    <x v="0"/>
    <x v="4"/>
    <s v="Chair"/>
    <s v="Furniture"/>
    <x v="24"/>
    <n v="2"/>
    <n v="-5949"/>
  </r>
  <r>
    <n v="1026"/>
    <s v="11-01-2024"/>
    <x v="2"/>
    <x v="2"/>
    <s v="Table"/>
    <s v="Furniture"/>
    <x v="25"/>
    <n v="3"/>
    <n v="3687"/>
  </r>
  <r>
    <n v="1027"/>
    <s v="05-01-2024"/>
    <x v="3"/>
    <x v="5"/>
    <s v="Laptop"/>
    <s v="Tech"/>
    <x v="26"/>
    <n v="2"/>
    <n v="11817"/>
  </r>
  <r>
    <n v="1028"/>
    <s v="27-02-2024"/>
    <x v="2"/>
    <x v="8"/>
    <s v="Phone"/>
    <s v="Tech"/>
    <x v="27"/>
    <n v="1"/>
    <n v="6909"/>
  </r>
  <r>
    <n v="1029"/>
    <s v="01-01-2024"/>
    <x v="1"/>
    <x v="0"/>
    <s v="Table"/>
    <s v="Furniture"/>
    <x v="28"/>
    <n v="2"/>
    <n v="3918"/>
  </r>
  <r>
    <n v="1030"/>
    <s v="06-01-2024"/>
    <x v="0"/>
    <x v="1"/>
    <s v="Sofa"/>
    <s v="Furniture"/>
    <x v="29"/>
    <n v="3"/>
    <n v="6620"/>
  </r>
  <r>
    <n v="1031"/>
    <s v="10-02-2024"/>
    <x v="0"/>
    <x v="7"/>
    <s v="Chair"/>
    <s v="Furniture"/>
    <x v="30"/>
    <n v="2"/>
    <n v="17009"/>
  </r>
  <r>
    <n v="1032"/>
    <s v="09-01-2024"/>
    <x v="3"/>
    <x v="1"/>
    <s v="Phone"/>
    <s v="Tech"/>
    <x v="31"/>
    <n v="2"/>
    <n v="-260"/>
  </r>
  <r>
    <n v="1033"/>
    <s v="07-02-2024"/>
    <x v="1"/>
    <x v="0"/>
    <s v="Laptop"/>
    <s v="Tech"/>
    <x v="32"/>
    <n v="3"/>
    <n v="-1035"/>
  </r>
  <r>
    <n v="1034"/>
    <s v="15-02-2024"/>
    <x v="3"/>
    <x v="2"/>
    <s v="Chair"/>
    <s v="Furniture"/>
    <x v="33"/>
    <n v="2"/>
    <n v="1317"/>
  </r>
  <r>
    <n v="1035"/>
    <s v="07-01-2024"/>
    <x v="2"/>
    <x v="7"/>
    <s v="Table"/>
    <s v="Furniture"/>
    <x v="34"/>
    <n v="2"/>
    <n v="4858"/>
  </r>
  <r>
    <n v="1036"/>
    <s v="02-01-2024"/>
    <x v="2"/>
    <x v="0"/>
    <s v="TV"/>
    <s v="Tech"/>
    <x v="35"/>
    <n v="1"/>
    <n v="4929"/>
  </r>
  <r>
    <n v="1037"/>
    <s v="19-02-2024"/>
    <x v="0"/>
    <x v="4"/>
    <s v="Table"/>
    <s v="Furniture"/>
    <x v="36"/>
    <n v="2"/>
    <n v="-235"/>
  </r>
  <r>
    <n v="1038"/>
    <s v="22-02-2024"/>
    <x v="2"/>
    <x v="8"/>
    <s v="Laptop"/>
    <s v="Tech"/>
    <x v="37"/>
    <n v="1"/>
    <n v="-1263"/>
  </r>
  <r>
    <n v="1039"/>
    <s v="24-01-2024"/>
    <x v="1"/>
    <x v="0"/>
    <s v="Phone"/>
    <s v="Tech"/>
    <x v="38"/>
    <n v="3"/>
    <n v="7071"/>
  </r>
  <r>
    <n v="1040"/>
    <s v="06-01-2024"/>
    <x v="1"/>
    <x v="4"/>
    <s v="Laptop"/>
    <s v="Tech"/>
    <x v="39"/>
    <n v="1"/>
    <n v="1762"/>
  </r>
  <r>
    <n v="1041"/>
    <s v="28-01-2024"/>
    <x v="1"/>
    <x v="2"/>
    <s v="Sofa"/>
    <s v="Furniture"/>
    <x v="40"/>
    <n v="2"/>
    <n v="-6473"/>
  </r>
  <r>
    <n v="1042"/>
    <s v="28-02-2024"/>
    <x v="1"/>
    <x v="3"/>
    <s v="Table"/>
    <s v="Furniture"/>
    <x v="41"/>
    <n v="2"/>
    <n v="-2922"/>
  </r>
  <r>
    <n v="1043"/>
    <s v="24-02-2024"/>
    <x v="2"/>
    <x v="2"/>
    <s v="Chair"/>
    <s v="Furniture"/>
    <x v="42"/>
    <n v="1"/>
    <n v="-2573"/>
  </r>
  <r>
    <n v="1044"/>
    <s v="27-02-2024"/>
    <x v="0"/>
    <x v="2"/>
    <s v="Phone"/>
    <s v="Tech"/>
    <x v="43"/>
    <n v="2"/>
    <n v="1879"/>
  </r>
  <r>
    <n v="1045"/>
    <s v="28-02-2024"/>
    <x v="3"/>
    <x v="1"/>
    <s v="Laptop"/>
    <s v="Tech"/>
    <x v="44"/>
    <n v="2"/>
    <n v="-513"/>
  </r>
  <r>
    <n v="1046"/>
    <s v="18-02-2024"/>
    <x v="1"/>
    <x v="7"/>
    <s v="Table"/>
    <s v="Furniture"/>
    <x v="45"/>
    <n v="1"/>
    <n v="467"/>
  </r>
  <r>
    <n v="1047"/>
    <s v="07-02-2024"/>
    <x v="3"/>
    <x v="3"/>
    <s v="TV"/>
    <s v="Tech"/>
    <x v="46"/>
    <n v="2"/>
    <n v="8535"/>
  </r>
  <r>
    <n v="1048"/>
    <s v="06-02-2024"/>
    <x v="3"/>
    <x v="4"/>
    <s v="Sofa"/>
    <s v="Furniture"/>
    <x v="47"/>
    <n v="3"/>
    <n v="1255"/>
  </r>
  <r>
    <n v="1049"/>
    <s v="24-01-2024"/>
    <x v="0"/>
    <x v="9"/>
    <s v="Table"/>
    <s v="Furniture"/>
    <x v="48"/>
    <n v="1"/>
    <n v="2015"/>
  </r>
  <r>
    <n v="1050"/>
    <s v="18-02-2024"/>
    <x v="1"/>
    <x v="9"/>
    <s v="Laptop"/>
    <s v="Tech"/>
    <x v="49"/>
    <n v="2"/>
    <n v="4446"/>
  </r>
  <r>
    <n v="1051"/>
    <s v="15-02-2024"/>
    <x v="1"/>
    <x v="6"/>
    <s v="TV"/>
    <s v="Tech"/>
    <x v="50"/>
    <n v="2"/>
    <n v="3925"/>
  </r>
  <r>
    <n v="1052"/>
    <s v="22-02-2024"/>
    <x v="3"/>
    <x v="9"/>
    <s v="Laptop"/>
    <s v="Tech"/>
    <x v="51"/>
    <n v="2"/>
    <n v="4988"/>
  </r>
  <r>
    <n v="1053"/>
    <s v="16-01-2024"/>
    <x v="3"/>
    <x v="7"/>
    <s v="Table"/>
    <s v="Furniture"/>
    <x v="52"/>
    <n v="3"/>
    <n v="2939"/>
  </r>
  <r>
    <n v="1054"/>
    <s v="07-02-2024"/>
    <x v="3"/>
    <x v="8"/>
    <s v="TV"/>
    <s v="Tech"/>
    <x v="53"/>
    <n v="2"/>
    <n v="-1731"/>
  </r>
  <r>
    <n v="1055"/>
    <s v="20-02-2024"/>
    <x v="3"/>
    <x v="5"/>
    <s v="Sofa"/>
    <s v="Furniture"/>
    <x v="54"/>
    <n v="1"/>
    <n v="-3435"/>
  </r>
  <r>
    <n v="1056"/>
    <s v="23-02-2024"/>
    <x v="0"/>
    <x v="4"/>
    <s v="TV"/>
    <s v="Tech"/>
    <x v="55"/>
    <n v="2"/>
    <n v="13599"/>
  </r>
  <r>
    <n v="1057"/>
    <s v="25-01-2024"/>
    <x v="2"/>
    <x v="9"/>
    <s v="TV"/>
    <s v="Tech"/>
    <x v="56"/>
    <n v="1"/>
    <n v="20617"/>
  </r>
  <r>
    <n v="1058"/>
    <s v="08-02-2024"/>
    <x v="0"/>
    <x v="0"/>
    <s v="TV"/>
    <s v="Tech"/>
    <x v="57"/>
    <n v="2"/>
    <n v="11587"/>
  </r>
  <r>
    <n v="1059"/>
    <s v="20-02-2024"/>
    <x v="2"/>
    <x v="7"/>
    <s v="Table"/>
    <s v="Furniture"/>
    <x v="58"/>
    <n v="3"/>
    <n v="5179"/>
  </r>
  <r>
    <n v="1060"/>
    <s v="18-02-2024"/>
    <x v="3"/>
    <x v="5"/>
    <s v="Phone"/>
    <s v="Tech"/>
    <x v="59"/>
    <n v="2"/>
    <n v="-2469"/>
  </r>
  <r>
    <n v="1061"/>
    <s v="21-01-2024"/>
    <x v="2"/>
    <x v="5"/>
    <s v="Chair"/>
    <s v="Furniture"/>
    <x v="60"/>
    <n v="2"/>
    <n v="10145"/>
  </r>
  <r>
    <n v="1062"/>
    <s v="14-02-2024"/>
    <x v="3"/>
    <x v="8"/>
    <s v="Laptop"/>
    <s v="Tech"/>
    <x v="61"/>
    <n v="2"/>
    <n v="-911"/>
  </r>
  <r>
    <n v="1063"/>
    <s v="16-02-2024"/>
    <x v="1"/>
    <x v="0"/>
    <s v="TV"/>
    <s v="Tech"/>
    <x v="62"/>
    <n v="3"/>
    <n v="4526"/>
  </r>
  <r>
    <n v="1064"/>
    <s v="14-02-2024"/>
    <x v="2"/>
    <x v="8"/>
    <s v="Table"/>
    <s v="Furniture"/>
    <x v="63"/>
    <n v="3"/>
    <n v="3026"/>
  </r>
  <r>
    <n v="1065"/>
    <s v="30-01-2024"/>
    <x v="2"/>
    <x v="5"/>
    <s v="Phone"/>
    <s v="Tech"/>
    <x v="64"/>
    <n v="2"/>
    <n v="3175"/>
  </r>
  <r>
    <n v="1066"/>
    <s v="04-02-2024"/>
    <x v="3"/>
    <x v="3"/>
    <s v="TV"/>
    <s v="Tech"/>
    <x v="65"/>
    <n v="3"/>
    <n v="-141"/>
  </r>
  <r>
    <n v="1067"/>
    <s v="16-02-2024"/>
    <x v="3"/>
    <x v="8"/>
    <s v="Phone"/>
    <s v="Tech"/>
    <x v="66"/>
    <n v="2"/>
    <n v="4940"/>
  </r>
  <r>
    <n v="1068"/>
    <s v="09-02-2024"/>
    <x v="0"/>
    <x v="8"/>
    <s v="Phone"/>
    <s v="Tech"/>
    <x v="67"/>
    <n v="2"/>
    <n v="-3323"/>
  </r>
  <r>
    <n v="1069"/>
    <s v="05-02-2024"/>
    <x v="0"/>
    <x v="1"/>
    <s v="Sofa"/>
    <s v="Furniture"/>
    <x v="68"/>
    <n v="1"/>
    <n v="2903"/>
  </r>
  <r>
    <n v="1070"/>
    <s v="09-02-2024"/>
    <x v="1"/>
    <x v="2"/>
    <s v="Sofa"/>
    <s v="Furniture"/>
    <x v="69"/>
    <n v="2"/>
    <n v="14417"/>
  </r>
  <r>
    <n v="1071"/>
    <s v="08-02-2024"/>
    <x v="1"/>
    <x v="9"/>
    <s v="TV"/>
    <s v="Tech"/>
    <x v="70"/>
    <n v="1"/>
    <n v="16156"/>
  </r>
  <r>
    <n v="1072"/>
    <s v="12-01-2024"/>
    <x v="1"/>
    <x v="5"/>
    <s v="Sofa"/>
    <s v="Furniture"/>
    <x v="71"/>
    <n v="1"/>
    <n v="5655"/>
  </r>
  <r>
    <n v="1073"/>
    <s v="28-01-2024"/>
    <x v="1"/>
    <x v="1"/>
    <s v="Table"/>
    <s v="Furniture"/>
    <x v="72"/>
    <n v="3"/>
    <n v="3846"/>
  </r>
  <r>
    <n v="1074"/>
    <s v="20-02-2024"/>
    <x v="2"/>
    <x v="6"/>
    <s v="TV"/>
    <s v="Tech"/>
    <x v="73"/>
    <n v="3"/>
    <n v="-2236"/>
  </r>
  <r>
    <n v="1075"/>
    <s v="01-02-2024"/>
    <x v="1"/>
    <x v="9"/>
    <s v="Sofa"/>
    <s v="Furniture"/>
    <x v="74"/>
    <n v="3"/>
    <n v="-1537"/>
  </r>
  <r>
    <n v="1076"/>
    <s v="08-01-2024"/>
    <x v="3"/>
    <x v="3"/>
    <s v="Chair"/>
    <s v="Furniture"/>
    <x v="75"/>
    <n v="2"/>
    <n v="380"/>
  </r>
  <r>
    <n v="1077"/>
    <s v="20-02-2024"/>
    <x v="3"/>
    <x v="7"/>
    <s v="Table"/>
    <s v="Furniture"/>
    <x v="76"/>
    <n v="1"/>
    <n v="12575"/>
  </r>
  <r>
    <n v="1078"/>
    <s v="20-01-2024"/>
    <x v="0"/>
    <x v="2"/>
    <s v="Chair"/>
    <s v="Furniture"/>
    <x v="77"/>
    <n v="2"/>
    <n v="12853"/>
  </r>
  <r>
    <n v="1079"/>
    <s v="02-02-2024"/>
    <x v="2"/>
    <x v="5"/>
    <s v="TV"/>
    <s v="Tech"/>
    <x v="78"/>
    <n v="3"/>
    <n v="-7671"/>
  </r>
  <r>
    <n v="1080"/>
    <s v="25-02-2024"/>
    <x v="0"/>
    <x v="8"/>
    <s v="Sofa"/>
    <s v="Furniture"/>
    <x v="79"/>
    <n v="2"/>
    <n v="-513"/>
  </r>
  <r>
    <n v="1081"/>
    <s v="19-02-2024"/>
    <x v="3"/>
    <x v="0"/>
    <s v="Chair"/>
    <s v="Furniture"/>
    <x v="80"/>
    <n v="2"/>
    <n v="7873"/>
  </r>
  <r>
    <n v="1082"/>
    <s v="25-02-2024"/>
    <x v="1"/>
    <x v="0"/>
    <s v="Chair"/>
    <s v="Furniture"/>
    <x v="81"/>
    <n v="1"/>
    <n v="-3933"/>
  </r>
  <r>
    <n v="1083"/>
    <s v="04-02-2024"/>
    <x v="0"/>
    <x v="7"/>
    <s v="Chair"/>
    <s v="Furniture"/>
    <x v="82"/>
    <n v="1"/>
    <n v="1812"/>
  </r>
  <r>
    <n v="1084"/>
    <s v="28-01-2024"/>
    <x v="0"/>
    <x v="7"/>
    <s v="Sofa"/>
    <s v="Furniture"/>
    <x v="83"/>
    <n v="1"/>
    <n v="-1078"/>
  </r>
  <r>
    <n v="1085"/>
    <s v="17-02-2024"/>
    <x v="2"/>
    <x v="4"/>
    <s v="Sofa"/>
    <s v="Furniture"/>
    <x v="84"/>
    <n v="1"/>
    <n v="-3150"/>
  </r>
  <r>
    <n v="1086"/>
    <s v="09-02-2024"/>
    <x v="3"/>
    <x v="0"/>
    <s v="Phone"/>
    <s v="Tech"/>
    <x v="85"/>
    <n v="2"/>
    <n v="20740"/>
  </r>
  <r>
    <n v="1087"/>
    <s v="06-02-2024"/>
    <x v="3"/>
    <x v="5"/>
    <s v="Table"/>
    <s v="Furniture"/>
    <x v="86"/>
    <n v="1"/>
    <n v="-1636"/>
  </r>
  <r>
    <n v="1088"/>
    <s v="01-02-2024"/>
    <x v="2"/>
    <x v="9"/>
    <s v="Laptop"/>
    <s v="Tech"/>
    <x v="87"/>
    <n v="1"/>
    <n v="12"/>
  </r>
  <r>
    <n v="1089"/>
    <s v="01-03-2024"/>
    <x v="0"/>
    <x v="8"/>
    <s v="TV"/>
    <s v="Tech"/>
    <x v="88"/>
    <n v="1"/>
    <n v="4605"/>
  </r>
  <r>
    <n v="1090"/>
    <s v="06-01-2024"/>
    <x v="1"/>
    <x v="8"/>
    <s v="Phone"/>
    <s v="Tech"/>
    <x v="89"/>
    <n v="1"/>
    <n v="1710"/>
  </r>
  <r>
    <n v="1091"/>
    <s v="20-01-2024"/>
    <x v="3"/>
    <x v="0"/>
    <s v="Table"/>
    <s v="Furniture"/>
    <x v="90"/>
    <n v="1"/>
    <n v="12840"/>
  </r>
  <r>
    <n v="1092"/>
    <s v="14-02-2024"/>
    <x v="3"/>
    <x v="0"/>
    <s v="Laptop"/>
    <s v="Tech"/>
    <x v="91"/>
    <n v="2"/>
    <n v="8136"/>
  </r>
  <r>
    <n v="1093"/>
    <s v="09-02-2024"/>
    <x v="2"/>
    <x v="8"/>
    <s v="Sofa"/>
    <s v="Furniture"/>
    <x v="92"/>
    <n v="3"/>
    <n v="7173"/>
  </r>
  <r>
    <n v="1094"/>
    <s v="12-01-2024"/>
    <x v="2"/>
    <x v="5"/>
    <s v="TV"/>
    <s v="Tech"/>
    <x v="93"/>
    <n v="3"/>
    <n v="-1897"/>
  </r>
  <r>
    <n v="1095"/>
    <s v="05-02-2024"/>
    <x v="3"/>
    <x v="0"/>
    <s v="Chair"/>
    <s v="Furniture"/>
    <x v="94"/>
    <n v="3"/>
    <n v="-234"/>
  </r>
  <r>
    <n v="1096"/>
    <s v="26-02-2024"/>
    <x v="1"/>
    <x v="8"/>
    <s v="Chair"/>
    <s v="Furniture"/>
    <x v="95"/>
    <n v="2"/>
    <n v="3487"/>
  </r>
  <r>
    <n v="1097"/>
    <s v="26-02-2024"/>
    <x v="1"/>
    <x v="4"/>
    <s v="Chair"/>
    <s v="Furniture"/>
    <x v="96"/>
    <n v="3"/>
    <n v="-4551"/>
  </r>
  <r>
    <n v="1098"/>
    <s v="12-01-2024"/>
    <x v="1"/>
    <x v="1"/>
    <s v="Table"/>
    <s v="Furniture"/>
    <x v="97"/>
    <n v="1"/>
    <n v="11560"/>
  </r>
  <r>
    <n v="1099"/>
    <s v="29-02-2024"/>
    <x v="2"/>
    <x v="4"/>
    <s v="Chair"/>
    <s v="Furniture"/>
    <x v="98"/>
    <n v="2"/>
    <n v="-1055"/>
  </r>
  <r>
    <n v="1100"/>
    <s v="26-01-2024"/>
    <x v="3"/>
    <x v="6"/>
    <s v="TV"/>
    <s v="Tech"/>
    <x v="99"/>
    <n v="3"/>
    <n v="14994"/>
  </r>
</pivotCacheRecords>
</file>

<file path=xl/pivotCache/pivotCacheRecords2.xml><?xml version="1.0" encoding="utf-8"?>
<pivotCacheRecords xmlns="http://schemas.openxmlformats.org/spreadsheetml/2006/main" xmlns:r="http://schemas.openxmlformats.org/officeDocument/2006/relationships" count="100">
  <r>
    <x v="0"/>
    <s v="Anita"/>
    <s v="TV"/>
    <s v="Tech"/>
    <n v="88264"/>
    <n v="2"/>
    <x v="0"/>
    <s v="Yes"/>
    <x v="0"/>
  </r>
  <r>
    <x v="1"/>
    <s v="Karthik"/>
    <s v="Sofa"/>
    <s v="Furniture"/>
    <n v="4567"/>
    <n v="3"/>
    <x v="1"/>
    <s v="No"/>
    <x v="1"/>
  </r>
  <r>
    <x v="2"/>
    <s v="Anita"/>
    <s v="Table"/>
    <s v="Furniture"/>
    <n v="85559"/>
    <n v="3"/>
    <x v="2"/>
    <s v="Yes"/>
    <x v="0"/>
  </r>
  <r>
    <x v="1"/>
    <s v="Ravi"/>
    <s v="Laptop"/>
    <s v="Tech"/>
    <n v="85679"/>
    <n v="2"/>
    <x v="3"/>
    <s v="Yes"/>
    <x v="1"/>
  </r>
  <r>
    <x v="2"/>
    <s v="Meena"/>
    <s v="Phone"/>
    <s v="Tech"/>
    <n v="21640"/>
    <n v="3"/>
    <x v="4"/>
    <s v="No"/>
    <x v="1"/>
  </r>
  <r>
    <x v="2"/>
    <s v="Divya"/>
    <s v="TV"/>
    <s v="Tech"/>
    <n v="19215"/>
    <n v="2"/>
    <x v="5"/>
    <s v="No"/>
    <x v="0"/>
  </r>
  <r>
    <x v="1"/>
    <s v="Vijay"/>
    <s v="Chair"/>
    <s v="Furniture"/>
    <n v="34009"/>
    <n v="1"/>
    <x v="6"/>
    <s v="Yes"/>
    <x v="1"/>
  </r>
  <r>
    <x v="1"/>
    <s v="Meena"/>
    <s v="Chair"/>
    <s v="Furniture"/>
    <n v="28523"/>
    <n v="2"/>
    <x v="7"/>
    <s v="No"/>
    <x v="1"/>
  </r>
  <r>
    <x v="1"/>
    <s v="Ravi"/>
    <s v="Laptop"/>
    <s v="Tech"/>
    <n v="37383"/>
    <n v="1"/>
    <x v="8"/>
    <s v="Yes"/>
    <x v="1"/>
  </r>
  <r>
    <x v="3"/>
    <s v="Pooja"/>
    <s v="Sofa"/>
    <s v="Furniture"/>
    <n v="67424"/>
    <n v="2"/>
    <x v="9"/>
    <s v="Yes"/>
    <x v="0"/>
  </r>
  <r>
    <x v="0"/>
    <s v="Vijay"/>
    <s v="Table"/>
    <s v="Furniture"/>
    <n v="87686"/>
    <n v="3"/>
    <x v="10"/>
    <s v="Yes"/>
    <x v="1"/>
  </r>
  <r>
    <x v="0"/>
    <s v="Karthik"/>
    <s v="Chair"/>
    <s v="Furniture"/>
    <n v="56288"/>
    <n v="1"/>
    <x v="11"/>
    <s v="Yes"/>
    <x v="1"/>
  </r>
  <r>
    <x v="3"/>
    <s v="Arun"/>
    <s v="Table"/>
    <s v="Furniture"/>
    <n v="48265"/>
    <n v="3"/>
    <x v="12"/>
    <s v="Yes"/>
    <x v="1"/>
  </r>
  <r>
    <x v="3"/>
    <s v="Arun"/>
    <s v="Sofa"/>
    <s v="Furniture"/>
    <n v="73059"/>
    <n v="2"/>
    <x v="13"/>
    <s v="Yes"/>
    <x v="1"/>
  </r>
  <r>
    <x v="1"/>
    <s v="Karthik"/>
    <s v="Laptop"/>
    <s v="Tech"/>
    <n v="79382"/>
    <n v="1"/>
    <x v="14"/>
    <s v="Yes"/>
    <x v="0"/>
  </r>
  <r>
    <x v="3"/>
    <s v="Karthik"/>
    <s v="Phone"/>
    <s v="Tech"/>
    <n v="30120"/>
    <n v="3"/>
    <x v="15"/>
    <s v="Yes"/>
    <x v="1"/>
  </r>
  <r>
    <x v="2"/>
    <s v="Arun"/>
    <s v="TV"/>
    <s v="Tech"/>
    <n v="26691"/>
    <n v="3"/>
    <x v="16"/>
    <s v="No"/>
    <x v="1"/>
  </r>
  <r>
    <x v="0"/>
    <s v="Meena"/>
    <s v="Phone"/>
    <s v="Tech"/>
    <n v="48578"/>
    <n v="2"/>
    <x v="17"/>
    <s v="Yes"/>
    <x v="1"/>
  </r>
  <r>
    <x v="0"/>
    <s v="Vijay"/>
    <s v="TV"/>
    <s v="Tech"/>
    <n v="22731"/>
    <n v="2"/>
    <x v="18"/>
    <s v="No"/>
    <x v="1"/>
  </r>
  <r>
    <x v="1"/>
    <s v="Pooja"/>
    <s v="Phone"/>
    <s v="Tech"/>
    <n v="44882"/>
    <n v="2"/>
    <x v="19"/>
    <s v="Yes"/>
    <x v="1"/>
  </r>
  <r>
    <x v="3"/>
    <s v="Anita"/>
    <s v="Table"/>
    <s v="Furniture"/>
    <n v="74470"/>
    <n v="2"/>
    <x v="20"/>
    <s v="Yes"/>
    <x v="1"/>
  </r>
  <r>
    <x v="0"/>
    <s v="Karthik"/>
    <s v="TV"/>
    <s v="Tech"/>
    <n v="88883"/>
    <n v="2"/>
    <x v="21"/>
    <s v="Yes"/>
    <x v="1"/>
  </r>
  <r>
    <x v="0"/>
    <s v="Anita"/>
    <s v="Table"/>
    <s v="Furniture"/>
    <n v="87156"/>
    <n v="2"/>
    <x v="22"/>
    <s v="Yes"/>
    <x v="0"/>
  </r>
  <r>
    <x v="0"/>
    <s v="Anita"/>
    <s v="Chair"/>
    <s v="Furniture"/>
    <n v="57392"/>
    <n v="3"/>
    <x v="23"/>
    <s v="Yes"/>
    <x v="0"/>
  </r>
  <r>
    <x v="0"/>
    <s v="Divya"/>
    <s v="Chair"/>
    <s v="Furniture"/>
    <n v="68630"/>
    <n v="2"/>
    <x v="24"/>
    <s v="Yes"/>
    <x v="0"/>
  </r>
  <r>
    <x v="2"/>
    <s v="Ravi"/>
    <s v="Table"/>
    <s v="Furniture"/>
    <n v="25764"/>
    <n v="3"/>
    <x v="25"/>
    <s v="No"/>
    <x v="1"/>
  </r>
  <r>
    <x v="3"/>
    <s v="Vijay"/>
    <s v="Laptop"/>
    <s v="Tech"/>
    <n v="68227"/>
    <n v="2"/>
    <x v="26"/>
    <s v="Yes"/>
    <x v="1"/>
  </r>
  <r>
    <x v="2"/>
    <s v="Suresh"/>
    <s v="Phone"/>
    <s v="Tech"/>
    <n v="38728"/>
    <n v="1"/>
    <x v="27"/>
    <s v="Yes"/>
    <x v="1"/>
  </r>
  <r>
    <x v="1"/>
    <s v="Anita"/>
    <s v="Table"/>
    <s v="Furniture"/>
    <n v="23343"/>
    <n v="2"/>
    <x v="28"/>
    <s v="No"/>
    <x v="1"/>
  </r>
  <r>
    <x v="0"/>
    <s v="Karthik"/>
    <s v="Sofa"/>
    <s v="Furniture"/>
    <n v="28973"/>
    <n v="3"/>
    <x v="29"/>
    <s v="No"/>
    <x v="1"/>
  </r>
  <r>
    <x v="0"/>
    <s v="Arun"/>
    <s v="Chair"/>
    <s v="Furniture"/>
    <n v="76694"/>
    <n v="2"/>
    <x v="30"/>
    <s v="Yes"/>
    <x v="1"/>
  </r>
  <r>
    <x v="3"/>
    <s v="Karthik"/>
    <s v="Phone"/>
    <s v="Tech"/>
    <n v="25160"/>
    <n v="2"/>
    <x v="31"/>
    <s v="No"/>
    <x v="0"/>
  </r>
  <r>
    <x v="1"/>
    <s v="Anita"/>
    <s v="Laptop"/>
    <s v="Tech"/>
    <n v="30141"/>
    <n v="3"/>
    <x v="32"/>
    <s v="Yes"/>
    <x v="0"/>
  </r>
  <r>
    <x v="3"/>
    <s v="Ravi"/>
    <s v="Chair"/>
    <s v="Furniture"/>
    <n v="29352"/>
    <n v="2"/>
    <x v="33"/>
    <s v="No"/>
    <x v="1"/>
  </r>
  <r>
    <x v="2"/>
    <s v="Arun"/>
    <s v="Table"/>
    <s v="Furniture"/>
    <n v="81531"/>
    <n v="2"/>
    <x v="34"/>
    <s v="Yes"/>
    <x v="1"/>
  </r>
  <r>
    <x v="2"/>
    <s v="Anita"/>
    <s v="TV"/>
    <s v="Tech"/>
    <n v="20385"/>
    <n v="1"/>
    <x v="35"/>
    <s v="No"/>
    <x v="1"/>
  </r>
  <r>
    <x v="0"/>
    <s v="Divya"/>
    <s v="Table"/>
    <s v="Furniture"/>
    <n v="9563"/>
    <n v="2"/>
    <x v="36"/>
    <s v="No"/>
    <x v="0"/>
  </r>
  <r>
    <x v="2"/>
    <s v="Suresh"/>
    <s v="Laptop"/>
    <s v="Tech"/>
    <n v="62611"/>
    <n v="1"/>
    <x v="37"/>
    <s v="Yes"/>
    <x v="0"/>
  </r>
  <r>
    <x v="1"/>
    <s v="Anita"/>
    <s v="Phone"/>
    <s v="Tech"/>
    <n v="23722"/>
    <n v="3"/>
    <x v="38"/>
    <s v="No"/>
    <x v="1"/>
  </r>
  <r>
    <x v="1"/>
    <s v="Divya"/>
    <s v="Laptop"/>
    <s v="Tech"/>
    <n v="8743"/>
    <n v="1"/>
    <x v="39"/>
    <s v="No"/>
    <x v="1"/>
  </r>
  <r>
    <x v="1"/>
    <s v="Ravi"/>
    <s v="Sofa"/>
    <s v="Furniture"/>
    <n v="73102"/>
    <n v="2"/>
    <x v="40"/>
    <s v="Yes"/>
    <x v="0"/>
  </r>
  <r>
    <x v="1"/>
    <s v="Meena"/>
    <s v="Table"/>
    <s v="Furniture"/>
    <n v="41890"/>
    <n v="2"/>
    <x v="41"/>
    <s v="Yes"/>
    <x v="0"/>
  </r>
  <r>
    <x v="2"/>
    <s v="Ravi"/>
    <s v="Chair"/>
    <s v="Furniture"/>
    <n v="89088"/>
    <n v="1"/>
    <x v="42"/>
    <s v="Yes"/>
    <x v="0"/>
  </r>
  <r>
    <x v="0"/>
    <s v="Ravi"/>
    <s v="Phone"/>
    <s v="Tech"/>
    <n v="16125"/>
    <n v="2"/>
    <x v="43"/>
    <s v="No"/>
    <x v="1"/>
  </r>
  <r>
    <x v="3"/>
    <s v="Karthik"/>
    <s v="Laptop"/>
    <s v="Tech"/>
    <n v="11224"/>
    <n v="2"/>
    <x v="44"/>
    <s v="No"/>
    <x v="0"/>
  </r>
  <r>
    <x v="1"/>
    <s v="Arun"/>
    <s v="Table"/>
    <s v="Furniture"/>
    <n v="3562"/>
    <n v="1"/>
    <x v="45"/>
    <s v="No"/>
    <x v="1"/>
  </r>
  <r>
    <x v="3"/>
    <s v="Meena"/>
    <s v="TV"/>
    <s v="Tech"/>
    <n v="88155"/>
    <n v="2"/>
    <x v="46"/>
    <s v="Yes"/>
    <x v="1"/>
  </r>
  <r>
    <x v="3"/>
    <s v="Divya"/>
    <s v="Sofa"/>
    <s v="Furniture"/>
    <n v="18951"/>
    <n v="3"/>
    <x v="47"/>
    <s v="No"/>
    <x v="1"/>
  </r>
  <r>
    <x v="0"/>
    <s v="Priya"/>
    <s v="Table"/>
    <s v="Furniture"/>
    <n v="23972"/>
    <n v="1"/>
    <x v="48"/>
    <s v="No"/>
    <x v="1"/>
  </r>
  <r>
    <x v="1"/>
    <s v="Priya"/>
    <s v="Laptop"/>
    <s v="Tech"/>
    <n v="28347"/>
    <n v="2"/>
    <x v="49"/>
    <s v="No"/>
    <x v="1"/>
  </r>
  <r>
    <x v="1"/>
    <s v="Pooja"/>
    <s v="TV"/>
    <s v="Tech"/>
    <n v="40713"/>
    <n v="2"/>
    <x v="50"/>
    <s v="Yes"/>
    <x v="1"/>
  </r>
  <r>
    <x v="3"/>
    <s v="Priya"/>
    <s v="Laptop"/>
    <s v="Tech"/>
    <n v="69178"/>
    <n v="2"/>
    <x v="51"/>
    <s v="Yes"/>
    <x v="1"/>
  </r>
  <r>
    <x v="3"/>
    <s v="Arun"/>
    <s v="Table"/>
    <s v="Furniture"/>
    <n v="25761"/>
    <n v="3"/>
    <x v="52"/>
    <s v="No"/>
    <x v="1"/>
  </r>
  <r>
    <x v="3"/>
    <s v="Suresh"/>
    <s v="TV"/>
    <s v="Tech"/>
    <n v="80110"/>
    <n v="2"/>
    <x v="53"/>
    <s v="Yes"/>
    <x v="0"/>
  </r>
  <r>
    <x v="3"/>
    <s v="Vijay"/>
    <s v="Sofa"/>
    <s v="Furniture"/>
    <n v="37957"/>
    <n v="1"/>
    <x v="54"/>
    <s v="Yes"/>
    <x v="0"/>
  </r>
  <r>
    <x v="0"/>
    <s v="Divya"/>
    <s v="TV"/>
    <s v="Tech"/>
    <n v="60195"/>
    <n v="2"/>
    <x v="55"/>
    <s v="Yes"/>
    <x v="1"/>
  </r>
  <r>
    <x v="2"/>
    <s v="Priya"/>
    <s v="TV"/>
    <s v="Tech"/>
    <n v="77002"/>
    <n v="1"/>
    <x v="56"/>
    <s v="Yes"/>
    <x v="1"/>
  </r>
  <r>
    <x v="0"/>
    <s v="Anita"/>
    <s v="TV"/>
    <s v="Tech"/>
    <n v="45206"/>
    <n v="2"/>
    <x v="57"/>
    <s v="Yes"/>
    <x v="1"/>
  </r>
  <r>
    <x v="2"/>
    <s v="Arun"/>
    <s v="Table"/>
    <s v="Furniture"/>
    <n v="70909"/>
    <n v="3"/>
    <x v="58"/>
    <s v="Yes"/>
    <x v="1"/>
  </r>
  <r>
    <x v="3"/>
    <s v="Vijay"/>
    <s v="Phone"/>
    <s v="Tech"/>
    <n v="51493"/>
    <n v="2"/>
    <x v="59"/>
    <s v="Yes"/>
    <x v="0"/>
  </r>
  <r>
    <x v="2"/>
    <s v="Vijay"/>
    <s v="Chair"/>
    <s v="Furniture"/>
    <n v="79211"/>
    <n v="2"/>
    <x v="60"/>
    <s v="Yes"/>
    <x v="1"/>
  </r>
  <r>
    <x v="3"/>
    <s v="Suresh"/>
    <s v="Laptop"/>
    <s v="Tech"/>
    <n v="23446"/>
    <n v="2"/>
    <x v="61"/>
    <s v="No"/>
    <x v="0"/>
  </r>
  <r>
    <x v="1"/>
    <s v="Anita"/>
    <s v="TV"/>
    <s v="Tech"/>
    <n v="72844"/>
    <n v="3"/>
    <x v="62"/>
    <s v="Yes"/>
    <x v="1"/>
  </r>
  <r>
    <x v="2"/>
    <s v="Suresh"/>
    <s v="Table"/>
    <s v="Furniture"/>
    <n v="14019"/>
    <n v="3"/>
    <x v="63"/>
    <s v="No"/>
    <x v="1"/>
  </r>
  <r>
    <x v="2"/>
    <s v="Vijay"/>
    <s v="Phone"/>
    <s v="Tech"/>
    <n v="24556"/>
    <n v="2"/>
    <x v="64"/>
    <s v="No"/>
    <x v="1"/>
  </r>
  <r>
    <x v="3"/>
    <s v="Meena"/>
    <s v="TV"/>
    <s v="Tech"/>
    <n v="10174"/>
    <n v="3"/>
    <x v="65"/>
    <s v="No"/>
    <x v="0"/>
  </r>
  <r>
    <x v="3"/>
    <s v="Suresh"/>
    <s v="Phone"/>
    <s v="Tech"/>
    <n v="32706"/>
    <n v="2"/>
    <x v="66"/>
    <s v="Yes"/>
    <x v="1"/>
  </r>
  <r>
    <x v="0"/>
    <s v="Suresh"/>
    <s v="Phone"/>
    <s v="Tech"/>
    <n v="39161"/>
    <n v="2"/>
    <x v="67"/>
    <s v="Yes"/>
    <x v="0"/>
  </r>
  <r>
    <x v="0"/>
    <s v="Karthik"/>
    <s v="Sofa"/>
    <s v="Furniture"/>
    <n v="32839"/>
    <n v="1"/>
    <x v="68"/>
    <s v="Yes"/>
    <x v="1"/>
  </r>
  <r>
    <x v="1"/>
    <s v="Ravi"/>
    <s v="Sofa"/>
    <s v="Furniture"/>
    <n v="72076"/>
    <n v="2"/>
    <x v="69"/>
    <s v="Yes"/>
    <x v="1"/>
  </r>
  <r>
    <x v="1"/>
    <s v="Priya"/>
    <s v="TV"/>
    <s v="Tech"/>
    <n v="71931"/>
    <n v="1"/>
    <x v="70"/>
    <s v="Yes"/>
    <x v="1"/>
  </r>
  <r>
    <x v="1"/>
    <s v="Vijay"/>
    <s v="Sofa"/>
    <s v="Furniture"/>
    <n v="22003"/>
    <n v="1"/>
    <x v="71"/>
    <s v="No"/>
    <x v="1"/>
  </r>
  <r>
    <x v="1"/>
    <s v="Karthik"/>
    <s v="Table"/>
    <s v="Furniture"/>
    <n v="88152"/>
    <n v="3"/>
    <x v="72"/>
    <s v="Yes"/>
    <x v="1"/>
  </r>
  <r>
    <x v="2"/>
    <s v="Pooja"/>
    <s v="TV"/>
    <s v="Tech"/>
    <n v="22837"/>
    <n v="3"/>
    <x v="73"/>
    <s v="No"/>
    <x v="0"/>
  </r>
  <r>
    <x v="1"/>
    <s v="Priya"/>
    <s v="Sofa"/>
    <s v="Furniture"/>
    <n v="18093"/>
    <n v="3"/>
    <x v="74"/>
    <s v="No"/>
    <x v="0"/>
  </r>
  <r>
    <x v="3"/>
    <s v="Meena"/>
    <s v="Chair"/>
    <s v="Furniture"/>
    <n v="27850"/>
    <n v="2"/>
    <x v="75"/>
    <s v="No"/>
    <x v="1"/>
  </r>
  <r>
    <x v="3"/>
    <s v="Arun"/>
    <s v="Table"/>
    <s v="Furniture"/>
    <n v="82160"/>
    <n v="1"/>
    <x v="76"/>
    <s v="Yes"/>
    <x v="1"/>
  </r>
  <r>
    <x v="0"/>
    <s v="Ravi"/>
    <s v="Chair"/>
    <s v="Furniture"/>
    <n v="49830"/>
    <n v="2"/>
    <x v="77"/>
    <s v="Yes"/>
    <x v="1"/>
  </r>
  <r>
    <x v="2"/>
    <s v="Vijay"/>
    <s v="TV"/>
    <s v="Tech"/>
    <n v="89856"/>
    <n v="3"/>
    <x v="78"/>
    <s v="Yes"/>
    <x v="0"/>
  </r>
  <r>
    <x v="0"/>
    <s v="Suresh"/>
    <s v="Sofa"/>
    <s v="Furniture"/>
    <n v="74560"/>
    <n v="2"/>
    <x v="44"/>
    <s v="Yes"/>
    <x v="0"/>
  </r>
  <r>
    <x v="3"/>
    <s v="Anita"/>
    <s v="Chair"/>
    <s v="Furniture"/>
    <n v="44176"/>
    <n v="2"/>
    <x v="79"/>
    <s v="Yes"/>
    <x v="1"/>
  </r>
  <r>
    <x v="1"/>
    <s v="Anita"/>
    <s v="Chair"/>
    <s v="Furniture"/>
    <n v="82741"/>
    <n v="1"/>
    <x v="80"/>
    <s v="Yes"/>
    <x v="0"/>
  </r>
  <r>
    <x v="0"/>
    <s v="Arun"/>
    <s v="Chair"/>
    <s v="Furniture"/>
    <n v="25093"/>
    <n v="1"/>
    <x v="81"/>
    <s v="No"/>
    <x v="1"/>
  </r>
  <r>
    <x v="0"/>
    <s v="Arun"/>
    <s v="Sofa"/>
    <s v="Furniture"/>
    <n v="24574"/>
    <n v="1"/>
    <x v="82"/>
    <s v="No"/>
    <x v="0"/>
  </r>
  <r>
    <x v="2"/>
    <s v="Divya"/>
    <s v="Sofa"/>
    <s v="Furniture"/>
    <n v="42368"/>
    <n v="1"/>
    <x v="83"/>
    <s v="Yes"/>
    <x v="0"/>
  </r>
  <r>
    <x v="3"/>
    <s v="Anita"/>
    <s v="Phone"/>
    <s v="Tech"/>
    <n v="72501"/>
    <n v="2"/>
    <x v="84"/>
    <s v="Yes"/>
    <x v="1"/>
  </r>
  <r>
    <x v="3"/>
    <s v="Vijay"/>
    <s v="Table"/>
    <s v="Furniture"/>
    <n v="27924"/>
    <n v="1"/>
    <x v="85"/>
    <s v="No"/>
    <x v="0"/>
  </r>
  <r>
    <x v="2"/>
    <s v="Priya"/>
    <s v="Laptop"/>
    <s v="Tech"/>
    <n v="75825"/>
    <n v="1"/>
    <x v="86"/>
    <s v="Yes"/>
    <x v="1"/>
  </r>
  <r>
    <x v="0"/>
    <s v="Suresh"/>
    <s v="TV"/>
    <s v="Tech"/>
    <n v="33092"/>
    <n v="1"/>
    <x v="87"/>
    <s v="Yes"/>
    <x v="1"/>
  </r>
  <r>
    <x v="1"/>
    <s v="Suresh"/>
    <s v="Phone"/>
    <s v="Tech"/>
    <n v="12466"/>
    <n v="1"/>
    <x v="88"/>
    <s v="No"/>
    <x v="1"/>
  </r>
  <r>
    <x v="3"/>
    <s v="Anita"/>
    <s v="Table"/>
    <s v="Furniture"/>
    <n v="58924"/>
    <n v="1"/>
    <x v="89"/>
    <s v="Yes"/>
    <x v="1"/>
  </r>
  <r>
    <x v="3"/>
    <s v="Anita"/>
    <s v="Laptop"/>
    <s v="Tech"/>
    <n v="40065"/>
    <n v="2"/>
    <x v="90"/>
    <s v="Yes"/>
    <x v="1"/>
  </r>
  <r>
    <x v="2"/>
    <s v="Suresh"/>
    <s v="Sofa"/>
    <s v="Furniture"/>
    <n v="32229"/>
    <n v="3"/>
    <x v="91"/>
    <s v="Yes"/>
    <x v="1"/>
  </r>
  <r>
    <x v="2"/>
    <s v="Vijay"/>
    <s v="TV"/>
    <s v="Tech"/>
    <n v="51043"/>
    <n v="3"/>
    <x v="92"/>
    <s v="Yes"/>
    <x v="0"/>
  </r>
  <r>
    <x v="3"/>
    <s v="Anita"/>
    <s v="Chair"/>
    <s v="Furniture"/>
    <n v="35679"/>
    <n v="3"/>
    <x v="93"/>
    <s v="Yes"/>
    <x v="0"/>
  </r>
  <r>
    <x v="1"/>
    <s v="Suresh"/>
    <s v="Chair"/>
    <s v="Furniture"/>
    <n v="64872"/>
    <n v="2"/>
    <x v="94"/>
    <s v="Yes"/>
    <x v="1"/>
  </r>
  <r>
    <x v="1"/>
    <s v="Divya"/>
    <s v="Chair"/>
    <s v="Furniture"/>
    <n v="81858"/>
    <n v="3"/>
    <x v="95"/>
    <s v="Yes"/>
    <x v="0"/>
  </r>
  <r>
    <x v="1"/>
    <s v="Karthik"/>
    <s v="Table"/>
    <s v="Furniture"/>
    <n v="52093"/>
    <n v="1"/>
    <x v="96"/>
    <s v="Yes"/>
    <x v="1"/>
  </r>
  <r>
    <x v="2"/>
    <s v="Divya"/>
    <s v="Chair"/>
    <s v="Furniture"/>
    <n v="82949"/>
    <n v="2"/>
    <x v="97"/>
    <s v="Yes"/>
    <x v="0"/>
  </r>
  <r>
    <x v="3"/>
    <s v="Pooja"/>
    <s v="TV"/>
    <s v="Tech"/>
    <n v="55448"/>
    <n v="3"/>
    <x v="98"/>
    <s v="Y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G8:H13" firstHeaderRow="1" firstDataRow="1" firstDataCol="1" rowPageCount="1" colPageCount="1"/>
  <pivotFields count="9">
    <pivotField axis="axisRow" showAll="0">
      <items count="5">
        <item x="0"/>
        <item x="1"/>
        <item x="2"/>
        <item x="3"/>
        <item t="default"/>
      </items>
    </pivotField>
    <pivotField showAll="0"/>
    <pivotField showAll="0"/>
    <pivotField showAll="0"/>
    <pivotField showAll="0"/>
    <pivotField dataField="1" showAll="0"/>
    <pivotField showAll="0">
      <items count="100">
        <item x="0"/>
        <item x="78"/>
        <item x="40"/>
        <item x="24"/>
        <item x="2"/>
        <item x="95"/>
        <item x="14"/>
        <item x="80"/>
        <item x="54"/>
        <item x="67"/>
        <item x="83"/>
        <item x="9"/>
        <item x="41"/>
        <item x="23"/>
        <item x="42"/>
        <item x="59"/>
        <item x="73"/>
        <item x="22"/>
        <item x="5"/>
        <item x="92"/>
        <item x="53"/>
        <item x="85"/>
        <item x="74"/>
        <item x="37"/>
        <item x="82"/>
        <item x="97"/>
        <item x="32"/>
        <item x="61"/>
        <item x="44"/>
        <item x="31"/>
        <item x="36"/>
        <item x="93"/>
        <item x="65"/>
        <item x="86"/>
        <item x="75"/>
        <item x="45"/>
        <item x="7"/>
        <item x="47"/>
        <item x="8"/>
        <item x="33"/>
        <item x="1"/>
        <item x="88"/>
        <item x="39"/>
        <item x="81"/>
        <item x="43"/>
        <item x="48"/>
        <item x="68"/>
        <item x="52"/>
        <item x="63"/>
        <item x="12"/>
        <item x="64"/>
        <item x="94"/>
        <item x="4"/>
        <item x="25"/>
        <item x="16"/>
        <item x="72"/>
        <item x="28"/>
        <item x="50"/>
        <item x="15"/>
        <item x="49"/>
        <item x="62"/>
        <item x="87"/>
        <item x="34"/>
        <item x="35"/>
        <item x="66"/>
        <item x="51"/>
        <item x="58"/>
        <item x="71"/>
        <item x="18"/>
        <item x="29"/>
        <item x="27"/>
        <item x="38"/>
        <item x="91"/>
        <item x="6"/>
        <item x="19"/>
        <item x="20"/>
        <item x="79"/>
        <item x="90"/>
        <item x="21"/>
        <item x="46"/>
        <item x="11"/>
        <item x="60"/>
        <item x="13"/>
        <item x="96"/>
        <item x="57"/>
        <item x="26"/>
        <item x="76"/>
        <item x="89"/>
        <item x="77"/>
        <item x="55"/>
        <item x="69"/>
        <item x="17"/>
        <item x="98"/>
        <item x="70"/>
        <item x="30"/>
        <item x="3"/>
        <item x="56"/>
        <item x="84"/>
        <item x="10"/>
        <item t="default"/>
      </items>
    </pivotField>
    <pivotField showAll="0"/>
    <pivotField name="Status" axis="axisPage" showAll="0">
      <items count="3">
        <item x="0"/>
        <item x="1"/>
        <item t="default"/>
      </items>
    </pivotField>
  </pivotFields>
  <rowFields count="1">
    <field x="0"/>
  </rowFields>
  <rowItems count="5">
    <i>
      <x/>
    </i>
    <i>
      <x v="1"/>
    </i>
    <i>
      <x v="2"/>
    </i>
    <i>
      <x v="3"/>
    </i>
    <i t="grand">
      <x/>
    </i>
  </rowItems>
  <colItems count="1">
    <i/>
  </colItems>
  <pageFields count="1">
    <pageField fld="8" item="0" hier="-1"/>
  </pageFields>
  <dataFields count="1">
    <dataField name="Count of Prof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D8:E13" firstHeaderRow="1" firstDataRow="1" firstDataCol="1" rowPageCount="1" colPageCount="1"/>
  <pivotFields count="9">
    <pivotField axis="axisRow" showAll="0">
      <items count="5">
        <item x="0"/>
        <item x="1"/>
        <item x="2"/>
        <item x="3"/>
        <item t="default"/>
      </items>
    </pivotField>
    <pivotField showAll="0"/>
    <pivotField showAll="0"/>
    <pivotField showAll="0"/>
    <pivotField showAll="0"/>
    <pivotField dataField="1" showAll="0"/>
    <pivotField showAll="0">
      <items count="100">
        <item x="0"/>
        <item x="78"/>
        <item x="40"/>
        <item x="24"/>
        <item x="2"/>
        <item x="95"/>
        <item x="14"/>
        <item x="80"/>
        <item x="54"/>
        <item x="67"/>
        <item x="83"/>
        <item x="9"/>
        <item x="41"/>
        <item x="23"/>
        <item x="42"/>
        <item x="59"/>
        <item x="73"/>
        <item x="22"/>
        <item x="5"/>
        <item x="92"/>
        <item x="53"/>
        <item x="85"/>
        <item x="74"/>
        <item x="37"/>
        <item x="82"/>
        <item x="97"/>
        <item x="32"/>
        <item x="61"/>
        <item x="44"/>
        <item x="31"/>
        <item x="36"/>
        <item x="93"/>
        <item x="65"/>
        <item x="86"/>
        <item x="75"/>
        <item x="45"/>
        <item x="7"/>
        <item x="47"/>
        <item x="8"/>
        <item x="33"/>
        <item x="1"/>
        <item x="88"/>
        <item x="39"/>
        <item x="81"/>
        <item x="43"/>
        <item x="48"/>
        <item x="68"/>
        <item x="52"/>
        <item x="63"/>
        <item x="12"/>
        <item x="64"/>
        <item x="94"/>
        <item x="4"/>
        <item x="25"/>
        <item x="16"/>
        <item x="72"/>
        <item x="28"/>
        <item x="50"/>
        <item x="15"/>
        <item x="49"/>
        <item x="62"/>
        <item x="87"/>
        <item x="34"/>
        <item x="35"/>
        <item x="66"/>
        <item x="51"/>
        <item x="58"/>
        <item x="71"/>
        <item x="18"/>
        <item x="29"/>
        <item x="27"/>
        <item x="38"/>
        <item x="91"/>
        <item x="6"/>
        <item x="19"/>
        <item x="20"/>
        <item x="79"/>
        <item x="90"/>
        <item x="21"/>
        <item x="46"/>
        <item x="11"/>
        <item x="60"/>
        <item x="13"/>
        <item x="96"/>
        <item x="57"/>
        <item x="26"/>
        <item x="76"/>
        <item x="89"/>
        <item x="77"/>
        <item x="55"/>
        <item x="69"/>
        <item x="17"/>
        <item x="98"/>
        <item x="70"/>
        <item x="30"/>
        <item x="3"/>
        <item x="56"/>
        <item x="84"/>
        <item x="10"/>
        <item t="default"/>
      </items>
    </pivotField>
    <pivotField showAll="0"/>
    <pivotField name="Status" axis="axisPage" showAll="0">
      <items count="3">
        <item x="0"/>
        <item x="1"/>
        <item t="default"/>
      </items>
    </pivotField>
  </pivotFields>
  <rowFields count="1">
    <field x="0"/>
  </rowFields>
  <rowItems count="5">
    <i>
      <x/>
    </i>
    <i>
      <x v="1"/>
    </i>
    <i>
      <x v="2"/>
    </i>
    <i>
      <x v="3"/>
    </i>
    <i t="grand">
      <x/>
    </i>
  </rowItems>
  <colItems count="1">
    <i/>
  </colItems>
  <pageFields count="1">
    <pageField fld="8" item="1" hier="-1"/>
  </pageFields>
  <dataFields count="1">
    <dataField name="Count of Prof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B6:C11" firstHeaderRow="1" firstDataRow="1" firstDataCol="1"/>
  <pivotFields count="9">
    <pivotField showAll="0"/>
    <pivotField showAll="0"/>
    <pivotField axis="axisRow" showAll="0">
      <items count="5">
        <item x="0"/>
        <item x="1"/>
        <item x="2"/>
        <item x="3"/>
        <item t="default"/>
      </items>
    </pivotField>
    <pivotField showAll="0"/>
    <pivotField showAll="0"/>
    <pivotField showAll="0"/>
    <pivotField dataField="1" showAll="0">
      <items count="101">
        <item x="45"/>
        <item x="1"/>
        <item x="39"/>
        <item x="36"/>
        <item x="65"/>
        <item x="44"/>
        <item x="89"/>
        <item x="63"/>
        <item x="43"/>
        <item x="74"/>
        <item x="47"/>
        <item x="5"/>
        <item x="35"/>
        <item x="4"/>
        <item x="71"/>
        <item x="18"/>
        <item x="73"/>
        <item x="28"/>
        <item x="61"/>
        <item x="38"/>
        <item x="48"/>
        <item x="64"/>
        <item x="83"/>
        <item x="82"/>
        <item x="31"/>
        <item x="52"/>
        <item x="25"/>
        <item x="16"/>
        <item x="75"/>
        <item x="86"/>
        <item x="49"/>
        <item x="7"/>
        <item x="29"/>
        <item x="33"/>
        <item x="15"/>
        <item x="32"/>
        <item x="92"/>
        <item x="66"/>
        <item x="68"/>
        <item x="88"/>
        <item x="6"/>
        <item x="94"/>
        <item x="8"/>
        <item x="54"/>
        <item x="27"/>
        <item x="67"/>
        <item x="91"/>
        <item x="50"/>
        <item x="41"/>
        <item x="84"/>
        <item x="80"/>
        <item x="19"/>
        <item x="57"/>
        <item x="12"/>
        <item x="17"/>
        <item x="77"/>
        <item x="93"/>
        <item x="59"/>
        <item x="97"/>
        <item x="99"/>
        <item x="11"/>
        <item x="23"/>
        <item x="90"/>
        <item x="55"/>
        <item x="37"/>
        <item x="95"/>
        <item x="9"/>
        <item x="26"/>
        <item x="24"/>
        <item x="51"/>
        <item x="58"/>
        <item x="70"/>
        <item x="69"/>
        <item x="85"/>
        <item x="62"/>
        <item x="13"/>
        <item x="40"/>
        <item x="20"/>
        <item x="79"/>
        <item x="87"/>
        <item x="30"/>
        <item x="56"/>
        <item x="60"/>
        <item x="14"/>
        <item x="53"/>
        <item x="34"/>
        <item x="96"/>
        <item x="76"/>
        <item x="81"/>
        <item x="98"/>
        <item x="2"/>
        <item x="3"/>
        <item x="22"/>
        <item x="10"/>
        <item x="72"/>
        <item x="46"/>
        <item x="0"/>
        <item x="21"/>
        <item x="42"/>
        <item x="78"/>
        <item t="default"/>
      </items>
    </pivotField>
    <pivotField showAll="0"/>
    <pivotField showAll="0"/>
  </pivotFields>
  <rowFields count="1">
    <field x="2"/>
  </rowFields>
  <rowItems count="5">
    <i>
      <x/>
    </i>
    <i>
      <x v="1"/>
    </i>
    <i>
      <x v="2"/>
    </i>
    <i>
      <x v="3"/>
    </i>
    <i t="grand">
      <x/>
    </i>
  </rowItems>
  <colItems count="1">
    <i/>
  </colItems>
  <dataFields count="1">
    <dataField name="Sum of Sales" fld="6" baseField="0" baseItem="0"/>
  </dataFields>
  <formats count="14">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outline="0" axis="axisValues"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outline="0" axis="axisValues"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location ref="B14:C25" firstHeaderRow="1" firstDataRow="1" firstDataCol="1"/>
  <pivotFields count="9">
    <pivotField showAll="0"/>
    <pivotField showAll="0"/>
    <pivotField showAll="0"/>
    <pivotField axis="axisRow" showAll="0" sortType="descending">
      <items count="11">
        <item x="0"/>
        <item x="7"/>
        <item x="4"/>
        <item x="1"/>
        <item x="3"/>
        <item x="6"/>
        <item x="9"/>
        <item x="2"/>
        <item x="8"/>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3"/>
  </rowFields>
  <rowItems count="11">
    <i>
      <x/>
    </i>
    <i>
      <x v="9"/>
    </i>
    <i>
      <x v="1"/>
    </i>
    <i>
      <x v="8"/>
    </i>
    <i>
      <x v="3"/>
    </i>
    <i>
      <x v="7"/>
    </i>
    <i>
      <x v="2"/>
    </i>
    <i>
      <x v="6"/>
    </i>
    <i>
      <x v="4"/>
    </i>
    <i>
      <x v="5"/>
    </i>
    <i t="grand">
      <x/>
    </i>
  </rowItems>
  <colItems count="1">
    <i/>
  </colItems>
  <dataFields count="1">
    <dataField name="Sum of Sales" fld="6" baseField="0" baseItem="0"/>
  </dataFields>
  <formats count="14">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outline="0" axis="axisValues" fieldPosition="0"/>
    </format>
    <format dxfId="23">
      <pivotArea dataOnly="0" labelOnly="1" fieldPosition="0">
        <references count="1">
          <reference field="3"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3" type="button" dataOnly="0" labelOnly="1" outline="0" axis="axisRow" fieldPosition="0"/>
    </format>
    <format dxfId="17">
      <pivotArea dataOnly="0" labelOnly="1" outline="0" axis="axisValues" fieldPosition="0"/>
    </format>
    <format dxfId="16">
      <pivotArea dataOnly="0" labelOnly="1" fieldPosition="0">
        <references count="1">
          <reference field="3" count="0"/>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location ref="E106:F117" firstHeaderRow="1" firstDataRow="1" firstDataCol="1"/>
  <pivotFields count="9">
    <pivotField showAll="0"/>
    <pivotField showAll="0"/>
    <pivotField showAll="0"/>
    <pivotField axis="axisRow" showAll="0" sortType="descending">
      <items count="11">
        <item x="0"/>
        <item x="7"/>
        <item x="4"/>
        <item x="1"/>
        <item x="3"/>
        <item x="6"/>
        <item x="9"/>
        <item x="2"/>
        <item x="8"/>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3"/>
  </rowFields>
  <rowItems count="11">
    <i>
      <x/>
    </i>
    <i>
      <x v="9"/>
    </i>
    <i>
      <x v="1"/>
    </i>
    <i>
      <x v="8"/>
    </i>
    <i>
      <x v="3"/>
    </i>
    <i>
      <x v="7"/>
    </i>
    <i>
      <x v="2"/>
    </i>
    <i>
      <x v="6"/>
    </i>
    <i>
      <x v="4"/>
    </i>
    <i>
      <x v="5"/>
    </i>
    <i t="grand">
      <x/>
    </i>
  </rowItems>
  <colItems count="1">
    <i/>
  </colItems>
  <dataFields count="1">
    <dataField name="Sum of Sales" fld="6" baseField="0" baseItem="0"/>
  </dataFields>
  <formats count="7">
    <format dxfId="34">
      <pivotArea type="all" dataOnly="0" outline="0" fieldPosition="0"/>
    </format>
    <format dxfId="33">
      <pivotArea outline="0" collapsedLevelsAreSubtotals="1" fieldPosition="0"/>
    </format>
    <format dxfId="32">
      <pivotArea field="3" type="button" dataOnly="0" labelOnly="1" outline="0" axis="axisRow" fieldPosition="0"/>
    </format>
    <format dxfId="31">
      <pivotArea dataOnly="0" labelOnly="1" outline="0" axis="axisValues" fieldPosition="0"/>
    </format>
    <format dxfId="30">
      <pivotArea dataOnly="0" labelOnly="1" fieldPosition="0">
        <references count="1">
          <reference field="3"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106:C111" firstHeaderRow="1" firstDataRow="1" firstDataCol="1"/>
  <pivotFields count="9">
    <pivotField showAll="0"/>
    <pivotField showAll="0"/>
    <pivotField axis="axisRow" showAll="0">
      <items count="5">
        <item x="0"/>
        <item x="1"/>
        <item x="2"/>
        <item x="3"/>
        <item t="default"/>
      </items>
    </pivotField>
    <pivotField showAll="0"/>
    <pivotField showAll="0"/>
    <pivotField showAll="0"/>
    <pivotField dataField="1" showAll="0">
      <items count="101">
        <item x="45"/>
        <item x="1"/>
        <item x="39"/>
        <item x="36"/>
        <item x="65"/>
        <item x="44"/>
        <item x="89"/>
        <item x="63"/>
        <item x="43"/>
        <item x="74"/>
        <item x="47"/>
        <item x="5"/>
        <item x="35"/>
        <item x="4"/>
        <item x="71"/>
        <item x="18"/>
        <item x="73"/>
        <item x="28"/>
        <item x="61"/>
        <item x="38"/>
        <item x="48"/>
        <item x="64"/>
        <item x="83"/>
        <item x="82"/>
        <item x="31"/>
        <item x="52"/>
        <item x="25"/>
        <item x="16"/>
        <item x="75"/>
        <item x="86"/>
        <item x="49"/>
        <item x="7"/>
        <item x="29"/>
        <item x="33"/>
        <item x="15"/>
        <item x="32"/>
        <item x="92"/>
        <item x="66"/>
        <item x="68"/>
        <item x="88"/>
        <item x="6"/>
        <item x="94"/>
        <item x="8"/>
        <item x="54"/>
        <item x="27"/>
        <item x="67"/>
        <item x="91"/>
        <item x="50"/>
        <item x="41"/>
        <item x="84"/>
        <item x="80"/>
        <item x="19"/>
        <item x="57"/>
        <item x="12"/>
        <item x="17"/>
        <item x="77"/>
        <item x="93"/>
        <item x="59"/>
        <item x="97"/>
        <item x="99"/>
        <item x="11"/>
        <item x="23"/>
        <item x="90"/>
        <item x="55"/>
        <item x="37"/>
        <item x="95"/>
        <item x="9"/>
        <item x="26"/>
        <item x="24"/>
        <item x="51"/>
        <item x="58"/>
        <item x="70"/>
        <item x="69"/>
        <item x="85"/>
        <item x="62"/>
        <item x="13"/>
        <item x="40"/>
        <item x="20"/>
        <item x="79"/>
        <item x="87"/>
        <item x="30"/>
        <item x="56"/>
        <item x="60"/>
        <item x="14"/>
        <item x="53"/>
        <item x="34"/>
        <item x="96"/>
        <item x="76"/>
        <item x="81"/>
        <item x="98"/>
        <item x="2"/>
        <item x="3"/>
        <item x="22"/>
        <item x="10"/>
        <item x="72"/>
        <item x="46"/>
        <item x="0"/>
        <item x="21"/>
        <item x="42"/>
        <item x="78"/>
        <item t="default"/>
      </items>
    </pivotField>
    <pivotField showAll="0"/>
    <pivotField showAll="0"/>
  </pivotFields>
  <rowFields count="1">
    <field x="2"/>
  </rowFields>
  <rowItems count="5">
    <i>
      <x/>
    </i>
    <i>
      <x v="1"/>
    </i>
    <i>
      <x v="2"/>
    </i>
    <i>
      <x v="3"/>
    </i>
    <i t="grand">
      <x/>
    </i>
  </rowItems>
  <colItems count="1">
    <i/>
  </colItems>
  <dataFields count="1">
    <dataField name="Sum of Sales" fld="6" baseField="0" baseItem="0"/>
  </dataFields>
  <formats count="7">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outline="0" axis="axisValues" fieldPosition="0"/>
    </format>
    <format dxfId="37">
      <pivotArea dataOnly="0" labelOnly="1" fieldPosition="0">
        <references count="1">
          <reference field="2" count="0"/>
        </references>
      </pivotArea>
    </format>
    <format dxfId="36">
      <pivotArea dataOnly="0" labelOnly="1" grandRow="1" outline="0" fieldPosition="0"/>
    </format>
    <format dxfId="3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13:O18" firstHeaderRow="1" firstDataRow="1" firstDataCol="1" rowPageCount="1" colPageCount="1"/>
  <pivotFields count="9">
    <pivotField axis="axisRow" showAll="0">
      <items count="5">
        <item x="0"/>
        <item x="1"/>
        <item x="2"/>
        <item x="3"/>
        <item t="default"/>
      </items>
    </pivotField>
    <pivotField showAll="0"/>
    <pivotField showAll="0"/>
    <pivotField showAll="0"/>
    <pivotField showAll="0"/>
    <pivotField dataField="1" showAll="0"/>
    <pivotField showAll="0">
      <items count="100">
        <item x="0"/>
        <item x="78"/>
        <item x="40"/>
        <item x="24"/>
        <item x="2"/>
        <item x="95"/>
        <item x="14"/>
        <item x="80"/>
        <item x="54"/>
        <item x="67"/>
        <item x="83"/>
        <item x="9"/>
        <item x="41"/>
        <item x="23"/>
        <item x="42"/>
        <item x="59"/>
        <item x="73"/>
        <item x="22"/>
        <item x="5"/>
        <item x="92"/>
        <item x="53"/>
        <item x="85"/>
        <item x="74"/>
        <item x="37"/>
        <item x="82"/>
        <item x="97"/>
        <item x="32"/>
        <item x="61"/>
        <item x="44"/>
        <item x="31"/>
        <item x="36"/>
        <item x="93"/>
        <item x="65"/>
        <item x="86"/>
        <item x="75"/>
        <item x="45"/>
        <item x="7"/>
        <item x="47"/>
        <item x="8"/>
        <item x="33"/>
        <item x="1"/>
        <item x="88"/>
        <item x="39"/>
        <item x="81"/>
        <item x="43"/>
        <item x="48"/>
        <item x="68"/>
        <item x="52"/>
        <item x="63"/>
        <item x="12"/>
        <item x="64"/>
        <item x="94"/>
        <item x="4"/>
        <item x="25"/>
        <item x="16"/>
        <item x="72"/>
        <item x="28"/>
        <item x="50"/>
        <item x="15"/>
        <item x="49"/>
        <item x="62"/>
        <item x="87"/>
        <item x="34"/>
        <item x="35"/>
        <item x="66"/>
        <item x="51"/>
        <item x="58"/>
        <item x="71"/>
        <item x="18"/>
        <item x="29"/>
        <item x="27"/>
        <item x="38"/>
        <item x="91"/>
        <item x="6"/>
        <item x="19"/>
        <item x="20"/>
        <item x="79"/>
        <item x="90"/>
        <item x="21"/>
        <item x="46"/>
        <item x="11"/>
        <item x="60"/>
        <item x="13"/>
        <item x="96"/>
        <item x="57"/>
        <item x="26"/>
        <item x="76"/>
        <item x="89"/>
        <item x="77"/>
        <item x="55"/>
        <item x="69"/>
        <item x="17"/>
        <item x="98"/>
        <item x="70"/>
        <item x="30"/>
        <item x="3"/>
        <item x="56"/>
        <item x="84"/>
        <item x="10"/>
        <item t="default"/>
      </items>
    </pivotField>
    <pivotField showAll="0"/>
    <pivotField name="Status" axis="axisPage" showAll="0">
      <items count="3">
        <item x="0"/>
        <item x="1"/>
        <item t="default"/>
      </items>
    </pivotField>
  </pivotFields>
  <rowFields count="1">
    <field x="0"/>
  </rowFields>
  <rowItems count="5">
    <i>
      <x/>
    </i>
    <i>
      <x v="1"/>
    </i>
    <i>
      <x v="2"/>
    </i>
    <i>
      <x v="3"/>
    </i>
    <i t="grand">
      <x/>
    </i>
  </rowItems>
  <colItems count="1">
    <i/>
  </colItems>
  <pageFields count="1">
    <pageField fld="8" item="0" hier="-1"/>
  </pageFields>
  <dataFields count="1">
    <dataField name="Count of Prof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O9" firstHeaderRow="1" firstDataRow="1" firstDataCol="1" rowPageCount="1" colPageCount="1"/>
  <pivotFields count="9">
    <pivotField axis="axisRow" showAll="0">
      <items count="5">
        <item x="0"/>
        <item x="1"/>
        <item x="2"/>
        <item x="3"/>
        <item t="default"/>
      </items>
    </pivotField>
    <pivotField showAll="0"/>
    <pivotField showAll="0"/>
    <pivotField showAll="0"/>
    <pivotField showAll="0"/>
    <pivotField dataField="1" showAll="0"/>
    <pivotField showAll="0">
      <items count="100">
        <item x="0"/>
        <item x="78"/>
        <item x="40"/>
        <item x="24"/>
        <item x="2"/>
        <item x="95"/>
        <item x="14"/>
        <item x="80"/>
        <item x="54"/>
        <item x="67"/>
        <item x="83"/>
        <item x="9"/>
        <item x="41"/>
        <item x="23"/>
        <item x="42"/>
        <item x="59"/>
        <item x="73"/>
        <item x="22"/>
        <item x="5"/>
        <item x="92"/>
        <item x="53"/>
        <item x="85"/>
        <item x="74"/>
        <item x="37"/>
        <item x="82"/>
        <item x="97"/>
        <item x="32"/>
        <item x="61"/>
        <item x="44"/>
        <item x="31"/>
        <item x="36"/>
        <item x="93"/>
        <item x="65"/>
        <item x="86"/>
        <item x="75"/>
        <item x="45"/>
        <item x="7"/>
        <item x="47"/>
        <item x="8"/>
        <item x="33"/>
        <item x="1"/>
        <item x="88"/>
        <item x="39"/>
        <item x="81"/>
        <item x="43"/>
        <item x="48"/>
        <item x="68"/>
        <item x="52"/>
        <item x="63"/>
        <item x="12"/>
        <item x="64"/>
        <item x="94"/>
        <item x="4"/>
        <item x="25"/>
        <item x="16"/>
        <item x="72"/>
        <item x="28"/>
        <item x="50"/>
        <item x="15"/>
        <item x="49"/>
        <item x="62"/>
        <item x="87"/>
        <item x="34"/>
        <item x="35"/>
        <item x="66"/>
        <item x="51"/>
        <item x="58"/>
        <item x="71"/>
        <item x="18"/>
        <item x="29"/>
        <item x="27"/>
        <item x="38"/>
        <item x="91"/>
        <item x="6"/>
        <item x="19"/>
        <item x="20"/>
        <item x="79"/>
        <item x="90"/>
        <item x="21"/>
        <item x="46"/>
        <item x="11"/>
        <item x="60"/>
        <item x="13"/>
        <item x="96"/>
        <item x="57"/>
        <item x="26"/>
        <item x="76"/>
        <item x="89"/>
        <item x="77"/>
        <item x="55"/>
        <item x="69"/>
        <item x="17"/>
        <item x="98"/>
        <item x="70"/>
        <item x="30"/>
        <item x="3"/>
        <item x="56"/>
        <item x="84"/>
        <item x="10"/>
        <item t="default"/>
      </items>
    </pivotField>
    <pivotField showAll="0"/>
    <pivotField name="Status" axis="axisPage" showAll="0">
      <items count="3">
        <item x="0"/>
        <item x="1"/>
        <item t="default"/>
      </items>
    </pivotField>
  </pivotFields>
  <rowFields count="1">
    <field x="0"/>
  </rowFields>
  <rowItems count="5">
    <i>
      <x/>
    </i>
    <i>
      <x v="1"/>
    </i>
    <i>
      <x v="2"/>
    </i>
    <i>
      <x v="3"/>
    </i>
    <i t="grand">
      <x/>
    </i>
  </rowItems>
  <colItems count="1">
    <i/>
  </colItems>
  <pageFields count="1">
    <pageField fld="8" item="1" hier="-1"/>
  </pageFields>
  <dataFields count="1">
    <dataField name="Count of Prof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 tabId="2" name="PivotTable7"/>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1" name="PivotTable1"/>
    <pivotTable tabId="2" name="PivotTable7"/>
  </pivotTables>
  <data>
    <tabular pivotCacheId="1">
      <items count="100">
        <i x="45" s="1"/>
        <i x="1" s="1"/>
        <i x="39" s="1"/>
        <i x="36" s="1"/>
        <i x="65" s="1"/>
        <i x="44" s="1"/>
        <i x="89" s="1"/>
        <i x="63" s="1"/>
        <i x="43" s="1"/>
        <i x="74" s="1"/>
        <i x="47" s="1"/>
        <i x="5" s="1"/>
        <i x="35" s="1"/>
        <i x="4" s="1"/>
        <i x="71" s="1"/>
        <i x="18" s="1"/>
        <i x="73" s="1"/>
        <i x="28" s="1"/>
        <i x="61" s="1"/>
        <i x="38" s="1"/>
        <i x="48" s="1"/>
        <i x="64" s="1"/>
        <i x="83" s="1"/>
        <i x="82" s="1"/>
        <i x="31" s="1"/>
        <i x="52" s="1"/>
        <i x="25" s="1"/>
        <i x="16" s="1"/>
        <i x="75" s="1"/>
        <i x="86" s="1"/>
        <i x="49" s="1"/>
        <i x="7" s="1"/>
        <i x="29" s="1"/>
        <i x="33" s="1"/>
        <i x="15" s="1"/>
        <i x="32" s="1"/>
        <i x="92" s="1"/>
        <i x="66" s="1"/>
        <i x="68" s="1"/>
        <i x="88" s="1"/>
        <i x="6" s="1"/>
        <i x="94" s="1"/>
        <i x="8" s="1"/>
        <i x="54" s="1"/>
        <i x="27" s="1"/>
        <i x="67" s="1"/>
        <i x="91" s="1"/>
        <i x="50" s="1"/>
        <i x="41" s="1"/>
        <i x="84" s="1"/>
        <i x="80" s="1"/>
        <i x="19" s="1"/>
        <i x="57" s="1"/>
        <i x="12" s="1"/>
        <i x="17" s="1"/>
        <i x="77" s="1"/>
        <i x="93" s="1"/>
        <i x="59" s="1"/>
        <i x="97" s="1"/>
        <i x="99" s="1"/>
        <i x="11" s="1"/>
        <i x="23" s="1"/>
        <i x="90" s="1"/>
        <i x="55" s="1"/>
        <i x="37" s="1"/>
        <i x="95" s="1"/>
        <i x="9" s="1"/>
        <i x="26" s="1"/>
        <i x="24" s="1"/>
        <i x="51" s="1"/>
        <i x="58" s="1"/>
        <i x="70" s="1"/>
        <i x="69" s="1"/>
        <i x="85" s="1"/>
        <i x="62" s="1"/>
        <i x="13" s="1"/>
        <i x="40" s="1"/>
        <i x="20" s="1"/>
        <i x="79" s="1"/>
        <i x="87" s="1"/>
        <i x="30" s="1"/>
        <i x="56" s="1"/>
        <i x="60" s="1"/>
        <i x="14" s="1"/>
        <i x="53" s="1"/>
        <i x="34" s="1"/>
        <i x="96" s="1"/>
        <i x="76" s="1"/>
        <i x="81" s="1"/>
        <i x="98" s="1"/>
        <i x="2" s="1"/>
        <i x="3" s="1"/>
        <i x="22" s="1"/>
        <i x="10" s="1"/>
        <i x="72" s="1"/>
        <i x="46" s="1"/>
        <i x="0" s="1"/>
        <i x="21" s="1"/>
        <i x="42" s="1"/>
        <i x="7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Sales 1" cache="Slicer_Sales" caption="Sales" startItem="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Sales" cache="Slicer_Sales" caption="Sales" startItem="39"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
  <sheetViews>
    <sheetView tabSelected="1" zoomScale="80" zoomScaleNormal="80" workbookViewId="0">
      <selection activeCell="R4" sqref="R4:S7"/>
    </sheetView>
  </sheetViews>
  <sheetFormatPr defaultRowHeight="15" x14ac:dyDescent="0.25"/>
  <cols>
    <col min="1" max="1" width="10.28515625" style="12" customWidth="1"/>
    <col min="2" max="2" width="11.5703125" style="12" customWidth="1"/>
    <col min="3" max="3" width="12.7109375" style="12" bestFit="1" customWidth="1"/>
    <col min="4" max="4" width="13.140625" style="12" bestFit="1" customWidth="1"/>
    <col min="5" max="5" width="13.5703125" style="12" bestFit="1" customWidth="1"/>
    <col min="6" max="6" width="6.28515625" style="12" customWidth="1"/>
    <col min="7" max="7" width="13.140625" style="12" bestFit="1" customWidth="1"/>
    <col min="8" max="8" width="13.5703125" style="12" bestFit="1" customWidth="1"/>
    <col min="9" max="10" width="9.140625" style="12"/>
    <col min="11" max="11" width="16" style="12" customWidth="1"/>
    <col min="12" max="17" width="9.140625" style="12"/>
    <col min="18" max="18" width="11" style="12" customWidth="1"/>
    <col min="19" max="19" width="14.7109375" style="12" customWidth="1"/>
    <col min="20" max="16384" width="9.140625" style="12"/>
  </cols>
  <sheetData>
    <row r="1" spans="1:22" x14ac:dyDescent="0.25">
      <c r="A1" s="27" t="s">
        <v>91</v>
      </c>
      <c r="B1" s="27"/>
      <c r="C1" s="27"/>
      <c r="D1" s="27"/>
      <c r="E1" s="27"/>
      <c r="F1" s="27"/>
      <c r="G1" s="27"/>
      <c r="H1" s="27"/>
      <c r="I1" s="27"/>
      <c r="J1" s="27"/>
      <c r="K1" s="27"/>
      <c r="L1" s="27"/>
      <c r="M1" s="27"/>
      <c r="N1" s="27"/>
      <c r="O1" s="27"/>
      <c r="P1" s="27"/>
      <c r="Q1" s="27"/>
      <c r="R1" s="27"/>
      <c r="S1" s="27"/>
      <c r="T1" s="27"/>
      <c r="U1" s="18"/>
      <c r="V1" s="18"/>
    </row>
    <row r="2" spans="1:22" x14ac:dyDescent="0.25">
      <c r="D2" s="24" t="s">
        <v>82</v>
      </c>
      <c r="E2" s="24"/>
      <c r="F2" s="24"/>
      <c r="G2" s="24"/>
      <c r="H2" s="24"/>
      <c r="I2" s="24"/>
      <c r="J2" s="24"/>
      <c r="K2" s="2">
        <v>4816577</v>
      </c>
    </row>
    <row r="3" spans="1:22" x14ac:dyDescent="0.25">
      <c r="D3" s="24" t="s">
        <v>83</v>
      </c>
      <c r="E3" s="24"/>
      <c r="F3" s="24"/>
      <c r="G3" s="24"/>
      <c r="H3" s="24"/>
      <c r="I3" s="24"/>
      <c r="J3" s="24"/>
      <c r="K3" s="2">
        <v>382408</v>
      </c>
    </row>
    <row r="4" spans="1:22" x14ac:dyDescent="0.25">
      <c r="D4" s="24" t="s">
        <v>84</v>
      </c>
      <c r="E4" s="24"/>
      <c r="F4" s="24"/>
      <c r="G4" s="24"/>
      <c r="H4" s="24"/>
      <c r="I4" s="24"/>
      <c r="J4" s="24"/>
      <c r="K4" s="2">
        <f>SUM(K2:K3)</f>
        <v>5198985</v>
      </c>
      <c r="R4" s="29" t="s">
        <v>89</v>
      </c>
      <c r="S4" s="29"/>
    </row>
    <row r="5" spans="1:22" x14ac:dyDescent="0.25">
      <c r="R5" s="21" t="s">
        <v>11</v>
      </c>
      <c r="S5" s="23" t="s">
        <v>97</v>
      </c>
    </row>
    <row r="6" spans="1:22" x14ac:dyDescent="0.25">
      <c r="B6" s="13" t="s">
        <v>2</v>
      </c>
      <c r="C6" s="4" t="s">
        <v>87</v>
      </c>
      <c r="D6" s="5" t="s">
        <v>94</v>
      </c>
      <c r="E6" t="s">
        <v>8</v>
      </c>
      <c r="G6" s="5" t="s">
        <v>94</v>
      </c>
      <c r="H6" t="s">
        <v>92</v>
      </c>
      <c r="R6" s="21" t="s">
        <v>31</v>
      </c>
      <c r="S6" s="23" t="s">
        <v>98</v>
      </c>
    </row>
    <row r="7" spans="1:22" x14ac:dyDescent="0.25">
      <c r="B7" s="14" t="s">
        <v>10</v>
      </c>
      <c r="C7" s="15">
        <v>1145485</v>
      </c>
      <c r="D7"/>
      <c r="E7"/>
      <c r="G7"/>
      <c r="H7"/>
      <c r="R7" s="21" t="s">
        <v>40</v>
      </c>
      <c r="S7" s="23" t="s">
        <v>99</v>
      </c>
    </row>
    <row r="8" spans="1:22" x14ac:dyDescent="0.25">
      <c r="B8" s="14" t="s">
        <v>15</v>
      </c>
      <c r="C8" s="15">
        <v>1227117</v>
      </c>
      <c r="D8" s="5" t="s">
        <v>2</v>
      </c>
      <c r="E8" t="s">
        <v>93</v>
      </c>
      <c r="G8" s="5" t="s">
        <v>2</v>
      </c>
      <c r="H8" t="s">
        <v>93</v>
      </c>
    </row>
    <row r="9" spans="1:22" x14ac:dyDescent="0.25">
      <c r="B9" s="14" t="s">
        <v>20</v>
      </c>
      <c r="C9" s="15">
        <v>1134016</v>
      </c>
      <c r="D9" s="6" t="s">
        <v>10</v>
      </c>
      <c r="E9" s="7">
        <v>27</v>
      </c>
      <c r="F9" s="20"/>
      <c r="G9" s="6" t="s">
        <v>10</v>
      </c>
      <c r="H9" s="7">
        <v>16</v>
      </c>
    </row>
    <row r="10" spans="1:22" x14ac:dyDescent="0.25">
      <c r="B10" s="14" t="s">
        <v>35</v>
      </c>
      <c r="C10" s="15">
        <v>1309959</v>
      </c>
      <c r="D10" s="6" t="s">
        <v>15</v>
      </c>
      <c r="E10" s="7">
        <v>36</v>
      </c>
      <c r="F10" s="20"/>
      <c r="G10" s="6" t="s">
        <v>15</v>
      </c>
      <c r="H10" s="7">
        <v>15</v>
      </c>
    </row>
    <row r="11" spans="1:22" x14ac:dyDescent="0.25">
      <c r="B11" s="14" t="s">
        <v>86</v>
      </c>
      <c r="C11" s="15">
        <v>4816577</v>
      </c>
      <c r="D11" s="6" t="s">
        <v>20</v>
      </c>
      <c r="E11" s="7">
        <v>28</v>
      </c>
      <c r="F11" s="20"/>
      <c r="G11" s="6" t="s">
        <v>20</v>
      </c>
      <c r="H11" s="7">
        <v>19</v>
      </c>
    </row>
    <row r="12" spans="1:22" x14ac:dyDescent="0.25">
      <c r="D12" s="6" t="s">
        <v>35</v>
      </c>
      <c r="E12" s="7">
        <v>39</v>
      </c>
      <c r="F12" s="20"/>
      <c r="G12" s="6" t="s">
        <v>35</v>
      </c>
      <c r="H12" s="7">
        <v>20</v>
      </c>
    </row>
    <row r="13" spans="1:22" x14ac:dyDescent="0.25">
      <c r="D13" s="6" t="s">
        <v>86</v>
      </c>
      <c r="E13" s="7">
        <v>130</v>
      </c>
      <c r="F13" s="20"/>
      <c r="G13" s="6" t="s">
        <v>86</v>
      </c>
      <c r="H13" s="7">
        <v>70</v>
      </c>
    </row>
    <row r="14" spans="1:22" x14ac:dyDescent="0.25">
      <c r="B14" s="13" t="s">
        <v>3</v>
      </c>
      <c r="C14" s="4" t="s">
        <v>87</v>
      </c>
      <c r="D14" s="30" t="s">
        <v>95</v>
      </c>
      <c r="E14" s="30"/>
      <c r="F14" s="30"/>
      <c r="G14" s="30"/>
      <c r="H14" s="19">
        <v>0.35</v>
      </c>
    </row>
    <row r="15" spans="1:22" x14ac:dyDescent="0.25">
      <c r="B15" s="14" t="s">
        <v>11</v>
      </c>
      <c r="C15" s="15">
        <v>942568</v>
      </c>
      <c r="D15" s="31" t="s">
        <v>96</v>
      </c>
      <c r="E15" s="31"/>
      <c r="F15" s="31"/>
      <c r="G15" s="31"/>
      <c r="H15" s="22">
        <v>0.65</v>
      </c>
    </row>
    <row r="16" spans="1:22" x14ac:dyDescent="0.25">
      <c r="B16" s="14" t="s">
        <v>31</v>
      </c>
      <c r="C16" s="15">
        <v>596696</v>
      </c>
    </row>
    <row r="17" spans="2:7" x14ac:dyDescent="0.25">
      <c r="B17" s="14" t="s">
        <v>40</v>
      </c>
      <c r="C17" s="15">
        <v>538299</v>
      </c>
      <c r="E17" s="28"/>
      <c r="F17" s="28"/>
      <c r="G17" s="28"/>
    </row>
    <row r="18" spans="2:7" x14ac:dyDescent="0.25">
      <c r="B18" s="14" t="s">
        <v>53</v>
      </c>
      <c r="C18" s="15">
        <v>508000</v>
      </c>
      <c r="E18" s="16"/>
      <c r="F18" s="16"/>
      <c r="G18" s="17"/>
    </row>
    <row r="19" spans="2:7" x14ac:dyDescent="0.25">
      <c r="B19" s="14" t="s">
        <v>16</v>
      </c>
      <c r="C19" s="15">
        <v>497681</v>
      </c>
      <c r="E19" s="16"/>
      <c r="F19" s="16"/>
      <c r="G19" s="17"/>
    </row>
    <row r="20" spans="2:7" x14ac:dyDescent="0.25">
      <c r="B20" s="14" t="s">
        <v>23</v>
      </c>
      <c r="C20" s="15">
        <v>478399</v>
      </c>
      <c r="E20" s="16"/>
      <c r="F20" s="16"/>
      <c r="G20" s="17"/>
    </row>
    <row r="21" spans="2:7" x14ac:dyDescent="0.25">
      <c r="B21" s="14" t="s">
        <v>29</v>
      </c>
      <c r="C21" s="15">
        <v>392472</v>
      </c>
    </row>
    <row r="22" spans="2:7" x14ac:dyDescent="0.25">
      <c r="B22" s="14" t="s">
        <v>64</v>
      </c>
      <c r="C22" s="15">
        <v>364348</v>
      </c>
    </row>
    <row r="23" spans="2:7" x14ac:dyDescent="0.25">
      <c r="B23" s="14" t="s">
        <v>26</v>
      </c>
      <c r="C23" s="15">
        <v>266810</v>
      </c>
    </row>
    <row r="24" spans="2:7" x14ac:dyDescent="0.25">
      <c r="B24" s="14" t="s">
        <v>36</v>
      </c>
      <c r="C24" s="15">
        <v>231304</v>
      </c>
    </row>
    <row r="25" spans="2:7" x14ac:dyDescent="0.25">
      <c r="B25" s="14" t="s">
        <v>86</v>
      </c>
      <c r="C25" s="15">
        <v>4816577</v>
      </c>
    </row>
  </sheetData>
  <mergeCells count="8">
    <mergeCell ref="A1:T1"/>
    <mergeCell ref="D2:J2"/>
    <mergeCell ref="D3:J3"/>
    <mergeCell ref="D4:J4"/>
    <mergeCell ref="E17:G17"/>
    <mergeCell ref="R4:S4"/>
    <mergeCell ref="D14:G14"/>
    <mergeCell ref="D15:G15"/>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7"/>
  <sheetViews>
    <sheetView zoomScaleNormal="100" workbookViewId="0">
      <selection activeCell="I2" sqref="I2"/>
    </sheetView>
  </sheetViews>
  <sheetFormatPr defaultRowHeight="15" x14ac:dyDescent="0.25"/>
  <cols>
    <col min="1" max="1" width="9" bestFit="1" customWidth="1"/>
    <col min="2" max="2" width="13.140625" bestFit="1" customWidth="1"/>
    <col min="3" max="3" width="12.140625" bestFit="1" customWidth="1"/>
    <col min="4" max="4" width="9.5703125" bestFit="1" customWidth="1"/>
    <col min="5" max="5" width="13.140625" bestFit="1" customWidth="1"/>
    <col min="6" max="6" width="12.140625" bestFit="1" customWidth="1"/>
    <col min="7" max="7" width="10.28515625" customWidth="1"/>
    <col min="8" max="8" width="8.7109375" bestFit="1" customWidth="1"/>
    <col min="9" max="9" width="9.28515625" customWidth="1"/>
    <col min="10" max="10" width="18.28515625" customWidth="1"/>
    <col min="11" max="11" width="11.42578125" customWidth="1"/>
    <col min="14" max="14" width="13.140625" bestFit="1" customWidth="1"/>
    <col min="15" max="15" width="13.5703125" customWidth="1"/>
    <col min="16" max="16" width="15.42578125" bestFit="1" customWidth="1"/>
  </cols>
  <sheetData>
    <row r="1" spans="1:15" x14ac:dyDescent="0.25">
      <c r="A1" s="2" t="s">
        <v>0</v>
      </c>
      <c r="B1" s="2" t="s">
        <v>1</v>
      </c>
      <c r="C1" s="2" t="s">
        <v>2</v>
      </c>
      <c r="D1" s="2" t="s">
        <v>3</v>
      </c>
      <c r="E1" s="2" t="s">
        <v>4</v>
      </c>
      <c r="F1" s="2" t="s">
        <v>5</v>
      </c>
      <c r="G1" s="2" t="s">
        <v>6</v>
      </c>
      <c r="H1" s="2" t="s">
        <v>7</v>
      </c>
      <c r="I1" s="2" t="s">
        <v>8</v>
      </c>
      <c r="J1" s="3" t="s">
        <v>81</v>
      </c>
      <c r="K1" s="3" t="s">
        <v>90</v>
      </c>
    </row>
    <row r="2" spans="1:15" x14ac:dyDescent="0.25">
      <c r="A2" s="1">
        <v>1001</v>
      </c>
      <c r="B2" s="1" t="s">
        <v>9</v>
      </c>
      <c r="C2" s="1" t="s">
        <v>10</v>
      </c>
      <c r="D2" s="1" t="s">
        <v>11</v>
      </c>
      <c r="E2" s="1" t="s">
        <v>12</v>
      </c>
      <c r="F2" s="1" t="s">
        <v>13</v>
      </c>
      <c r="G2" s="1">
        <v>88264</v>
      </c>
      <c r="H2" s="1">
        <v>2</v>
      </c>
      <c r="I2" s="1">
        <v>-7891</v>
      </c>
      <c r="J2" s="1" t="str">
        <f>IF(G2&gt;30000,"Yes","No")</f>
        <v>Yes</v>
      </c>
      <c r="K2" s="1" t="str">
        <f>IF(I2&gt;0,"Profit","Loss")</f>
        <v>Loss</v>
      </c>
      <c r="N2" s="5" t="s">
        <v>94</v>
      </c>
      <c r="O2" t="s">
        <v>8</v>
      </c>
    </row>
    <row r="3" spans="1:15" x14ac:dyDescent="0.25">
      <c r="A3" s="1">
        <v>1002</v>
      </c>
      <c r="B3" s="1" t="s">
        <v>14</v>
      </c>
      <c r="C3" s="1" t="s">
        <v>15</v>
      </c>
      <c r="D3" s="1" t="s">
        <v>16</v>
      </c>
      <c r="E3" s="1" t="s">
        <v>17</v>
      </c>
      <c r="F3" s="1" t="s">
        <v>18</v>
      </c>
      <c r="G3" s="1">
        <v>4567</v>
      </c>
      <c r="H3" s="1">
        <v>3</v>
      </c>
      <c r="I3" s="1">
        <v>1346</v>
      </c>
      <c r="J3" s="1" t="str">
        <f t="shared" ref="J3:J66" si="0">IF(G3&gt;30000,"Yes","No")</f>
        <v>No</v>
      </c>
      <c r="K3" s="1" t="str">
        <f t="shared" ref="K3:K66" si="1">IF(I3&gt;0,"Profit","Loss")</f>
        <v>Profit</v>
      </c>
    </row>
    <row r="4" spans="1:15" x14ac:dyDescent="0.25">
      <c r="A4" s="1">
        <v>1003</v>
      </c>
      <c r="B4" s="1" t="s">
        <v>19</v>
      </c>
      <c r="C4" s="1" t="s">
        <v>20</v>
      </c>
      <c r="D4" s="1" t="s">
        <v>11</v>
      </c>
      <c r="E4" s="1" t="s">
        <v>21</v>
      </c>
      <c r="F4" s="1" t="s">
        <v>18</v>
      </c>
      <c r="G4" s="1">
        <v>85559</v>
      </c>
      <c r="H4" s="1">
        <v>3</v>
      </c>
      <c r="I4" s="1">
        <v>-5785</v>
      </c>
      <c r="J4" s="1" t="str">
        <f t="shared" si="0"/>
        <v>Yes</v>
      </c>
      <c r="K4" s="1" t="str">
        <f t="shared" si="1"/>
        <v>Loss</v>
      </c>
      <c r="N4" s="5" t="s">
        <v>85</v>
      </c>
      <c r="O4" t="s">
        <v>93</v>
      </c>
    </row>
    <row r="5" spans="1:15" x14ac:dyDescent="0.25">
      <c r="A5" s="1">
        <v>1004</v>
      </c>
      <c r="B5" s="1" t="s">
        <v>22</v>
      </c>
      <c r="C5" s="1" t="s">
        <v>15</v>
      </c>
      <c r="D5" s="1" t="s">
        <v>23</v>
      </c>
      <c r="E5" s="1" t="s">
        <v>24</v>
      </c>
      <c r="F5" s="1" t="s">
        <v>13</v>
      </c>
      <c r="G5" s="1">
        <v>85679</v>
      </c>
      <c r="H5" s="1">
        <v>2</v>
      </c>
      <c r="I5" s="1">
        <v>19333</v>
      </c>
      <c r="J5" s="1" t="str">
        <f t="shared" si="0"/>
        <v>Yes</v>
      </c>
      <c r="K5" s="1" t="str">
        <f t="shared" si="1"/>
        <v>Profit</v>
      </c>
      <c r="N5" s="6" t="s">
        <v>10</v>
      </c>
      <c r="O5" s="7">
        <v>27</v>
      </c>
    </row>
    <row r="6" spans="1:15" x14ac:dyDescent="0.25">
      <c r="A6" s="1">
        <v>1005</v>
      </c>
      <c r="B6" s="1" t="s">
        <v>25</v>
      </c>
      <c r="C6" s="1" t="s">
        <v>20</v>
      </c>
      <c r="D6" s="1" t="s">
        <v>26</v>
      </c>
      <c r="E6" s="1" t="s">
        <v>27</v>
      </c>
      <c r="F6" s="1" t="s">
        <v>13</v>
      </c>
      <c r="G6" s="1">
        <v>21640</v>
      </c>
      <c r="H6" s="1">
        <v>3</v>
      </c>
      <c r="I6" s="1">
        <v>3624</v>
      </c>
      <c r="J6" s="1" t="str">
        <f t="shared" si="0"/>
        <v>No</v>
      </c>
      <c r="K6" s="1" t="str">
        <f t="shared" si="1"/>
        <v>Profit</v>
      </c>
      <c r="N6" s="6" t="s">
        <v>15</v>
      </c>
      <c r="O6" s="7">
        <v>36</v>
      </c>
    </row>
    <row r="7" spans="1:15" x14ac:dyDescent="0.25">
      <c r="A7" s="1">
        <v>1006</v>
      </c>
      <c r="B7" s="1" t="s">
        <v>28</v>
      </c>
      <c r="C7" s="1" t="s">
        <v>20</v>
      </c>
      <c r="D7" s="1" t="s">
        <v>29</v>
      </c>
      <c r="E7" s="1" t="s">
        <v>12</v>
      </c>
      <c r="F7" s="1" t="s">
        <v>13</v>
      </c>
      <c r="G7" s="1">
        <v>19215</v>
      </c>
      <c r="H7" s="1">
        <v>2</v>
      </c>
      <c r="I7" s="1">
        <v>-1921</v>
      </c>
      <c r="J7" s="1" t="str">
        <f t="shared" si="0"/>
        <v>No</v>
      </c>
      <c r="K7" s="1" t="str">
        <f t="shared" si="1"/>
        <v>Loss</v>
      </c>
      <c r="N7" s="6" t="s">
        <v>20</v>
      </c>
      <c r="O7" s="7">
        <v>28</v>
      </c>
    </row>
    <row r="8" spans="1:15" x14ac:dyDescent="0.25">
      <c r="A8" s="1">
        <v>1007</v>
      </c>
      <c r="B8" s="1" t="s">
        <v>30</v>
      </c>
      <c r="C8" s="1" t="s">
        <v>15</v>
      </c>
      <c r="D8" s="1" t="s">
        <v>31</v>
      </c>
      <c r="E8" s="1" t="s">
        <v>32</v>
      </c>
      <c r="F8" s="1" t="s">
        <v>18</v>
      </c>
      <c r="G8" s="1">
        <v>34009</v>
      </c>
      <c r="H8" s="1">
        <v>1</v>
      </c>
      <c r="I8" s="1">
        <v>7202</v>
      </c>
      <c r="J8" s="1" t="str">
        <f t="shared" si="0"/>
        <v>Yes</v>
      </c>
      <c r="K8" s="1" t="str">
        <f t="shared" si="1"/>
        <v>Profit</v>
      </c>
      <c r="N8" s="6" t="s">
        <v>35</v>
      </c>
      <c r="O8" s="7">
        <v>39</v>
      </c>
    </row>
    <row r="9" spans="1:15" x14ac:dyDescent="0.25">
      <c r="A9" s="1">
        <v>1008</v>
      </c>
      <c r="B9" s="1" t="s">
        <v>14</v>
      </c>
      <c r="C9" s="1" t="s">
        <v>15</v>
      </c>
      <c r="D9" s="1" t="s">
        <v>26</v>
      </c>
      <c r="E9" s="1" t="s">
        <v>32</v>
      </c>
      <c r="F9" s="1" t="s">
        <v>18</v>
      </c>
      <c r="G9" s="1">
        <v>28523</v>
      </c>
      <c r="H9" s="1">
        <v>2</v>
      </c>
      <c r="I9" s="1">
        <v>588</v>
      </c>
      <c r="J9" s="1" t="str">
        <f t="shared" si="0"/>
        <v>No</v>
      </c>
      <c r="K9" s="1" t="str">
        <f t="shared" si="1"/>
        <v>Profit</v>
      </c>
      <c r="N9" s="6" t="s">
        <v>86</v>
      </c>
      <c r="O9" s="7">
        <v>130</v>
      </c>
    </row>
    <row r="10" spans="1:15" x14ac:dyDescent="0.25">
      <c r="A10" s="1">
        <v>1009</v>
      </c>
      <c r="B10" s="1" t="s">
        <v>33</v>
      </c>
      <c r="C10" s="1" t="s">
        <v>15</v>
      </c>
      <c r="D10" s="1" t="s">
        <v>23</v>
      </c>
      <c r="E10" s="1" t="s">
        <v>24</v>
      </c>
      <c r="F10" s="1" t="s">
        <v>13</v>
      </c>
      <c r="G10" s="1">
        <v>37383</v>
      </c>
      <c r="H10" s="1">
        <v>1</v>
      </c>
      <c r="I10" s="1">
        <v>1302</v>
      </c>
      <c r="J10" s="1" t="str">
        <f t="shared" si="0"/>
        <v>Yes</v>
      </c>
      <c r="K10" s="1" t="str">
        <f t="shared" si="1"/>
        <v>Profit</v>
      </c>
    </row>
    <row r="11" spans="1:15" x14ac:dyDescent="0.25">
      <c r="A11" s="1">
        <v>1010</v>
      </c>
      <c r="B11" s="1" t="s">
        <v>34</v>
      </c>
      <c r="C11" s="1" t="s">
        <v>35</v>
      </c>
      <c r="D11" s="1" t="s">
        <v>36</v>
      </c>
      <c r="E11" s="1" t="s">
        <v>17</v>
      </c>
      <c r="F11" s="1" t="s">
        <v>18</v>
      </c>
      <c r="G11" s="1">
        <v>67424</v>
      </c>
      <c r="H11" s="1">
        <v>2</v>
      </c>
      <c r="I11" s="1">
        <v>-2989</v>
      </c>
      <c r="J11" s="1" t="str">
        <f t="shared" si="0"/>
        <v>Yes</v>
      </c>
      <c r="K11" s="1" t="str">
        <f t="shared" si="1"/>
        <v>Loss</v>
      </c>
      <c r="N11" s="5" t="s">
        <v>94</v>
      </c>
      <c r="O11" t="s">
        <v>92</v>
      </c>
    </row>
    <row r="12" spans="1:15" x14ac:dyDescent="0.25">
      <c r="A12" s="1">
        <v>1011</v>
      </c>
      <c r="B12" s="1" t="s">
        <v>37</v>
      </c>
      <c r="C12" s="1" t="s">
        <v>10</v>
      </c>
      <c r="D12" s="1" t="s">
        <v>31</v>
      </c>
      <c r="E12" s="1" t="s">
        <v>21</v>
      </c>
      <c r="F12" s="1" t="s">
        <v>18</v>
      </c>
      <c r="G12" s="1">
        <v>87686</v>
      </c>
      <c r="H12" s="1">
        <v>3</v>
      </c>
      <c r="I12" s="1">
        <v>24161</v>
      </c>
      <c r="J12" s="1" t="str">
        <f t="shared" si="0"/>
        <v>Yes</v>
      </c>
      <c r="K12" s="1" t="str">
        <f t="shared" si="1"/>
        <v>Profit</v>
      </c>
    </row>
    <row r="13" spans="1:15" x14ac:dyDescent="0.25">
      <c r="A13" s="1">
        <v>1012</v>
      </c>
      <c r="B13" s="1" t="s">
        <v>38</v>
      </c>
      <c r="C13" s="1" t="s">
        <v>10</v>
      </c>
      <c r="D13" s="1" t="s">
        <v>16</v>
      </c>
      <c r="E13" s="1" t="s">
        <v>32</v>
      </c>
      <c r="F13" s="1" t="s">
        <v>18</v>
      </c>
      <c r="G13" s="1">
        <v>56288</v>
      </c>
      <c r="H13" s="1">
        <v>1</v>
      </c>
      <c r="I13" s="1">
        <v>9287</v>
      </c>
      <c r="J13" s="1" t="str">
        <f t="shared" si="0"/>
        <v>Yes</v>
      </c>
      <c r="K13" s="1" t="str">
        <f t="shared" si="1"/>
        <v>Profit</v>
      </c>
      <c r="N13" s="5" t="s">
        <v>85</v>
      </c>
      <c r="O13" t="s">
        <v>93</v>
      </c>
    </row>
    <row r="14" spans="1:15" x14ac:dyDescent="0.25">
      <c r="A14" s="1">
        <v>1013</v>
      </c>
      <c r="B14" s="1" t="s">
        <v>39</v>
      </c>
      <c r="C14" s="1" t="s">
        <v>35</v>
      </c>
      <c r="D14" s="1" t="s">
        <v>40</v>
      </c>
      <c r="E14" s="1" t="s">
        <v>21</v>
      </c>
      <c r="F14" s="1" t="s">
        <v>18</v>
      </c>
      <c r="G14" s="1">
        <v>48265</v>
      </c>
      <c r="H14" s="1">
        <v>3</v>
      </c>
      <c r="I14" s="1">
        <v>3132</v>
      </c>
      <c r="J14" s="1" t="str">
        <f t="shared" si="0"/>
        <v>Yes</v>
      </c>
      <c r="K14" s="1" t="str">
        <f t="shared" si="1"/>
        <v>Profit</v>
      </c>
      <c r="N14" s="6" t="s">
        <v>10</v>
      </c>
      <c r="O14" s="7">
        <v>16</v>
      </c>
    </row>
    <row r="15" spans="1:15" x14ac:dyDescent="0.25">
      <c r="A15" s="1">
        <v>1014</v>
      </c>
      <c r="B15" s="1" t="s">
        <v>41</v>
      </c>
      <c r="C15" s="1" t="s">
        <v>35</v>
      </c>
      <c r="D15" s="1" t="s">
        <v>40</v>
      </c>
      <c r="E15" s="1" t="s">
        <v>17</v>
      </c>
      <c r="F15" s="1" t="s">
        <v>18</v>
      </c>
      <c r="G15" s="1">
        <v>73059</v>
      </c>
      <c r="H15" s="1">
        <v>2</v>
      </c>
      <c r="I15" s="1">
        <v>10299</v>
      </c>
      <c r="J15" s="1" t="str">
        <f t="shared" si="0"/>
        <v>Yes</v>
      </c>
      <c r="K15" s="1" t="str">
        <f t="shared" si="1"/>
        <v>Profit</v>
      </c>
      <c r="N15" s="6" t="s">
        <v>15</v>
      </c>
      <c r="O15" s="7">
        <v>15</v>
      </c>
    </row>
    <row r="16" spans="1:15" x14ac:dyDescent="0.25">
      <c r="A16" s="1">
        <v>1015</v>
      </c>
      <c r="B16" s="1" t="s">
        <v>42</v>
      </c>
      <c r="C16" s="1" t="s">
        <v>15</v>
      </c>
      <c r="D16" s="1" t="s">
        <v>16</v>
      </c>
      <c r="E16" s="1" t="s">
        <v>24</v>
      </c>
      <c r="F16" s="1" t="s">
        <v>13</v>
      </c>
      <c r="G16" s="1">
        <v>79382</v>
      </c>
      <c r="H16" s="1">
        <v>1</v>
      </c>
      <c r="I16" s="1">
        <v>-4448</v>
      </c>
      <c r="J16" s="1" t="str">
        <f t="shared" si="0"/>
        <v>Yes</v>
      </c>
      <c r="K16" s="1" t="str">
        <f t="shared" si="1"/>
        <v>Loss</v>
      </c>
      <c r="N16" s="6" t="s">
        <v>20</v>
      </c>
      <c r="O16" s="7">
        <v>19</v>
      </c>
    </row>
    <row r="17" spans="1:15" x14ac:dyDescent="0.25">
      <c r="A17" s="1">
        <v>1016</v>
      </c>
      <c r="B17" s="1" t="s">
        <v>43</v>
      </c>
      <c r="C17" s="1" t="s">
        <v>35</v>
      </c>
      <c r="D17" s="1" t="s">
        <v>16</v>
      </c>
      <c r="E17" s="1" t="s">
        <v>27</v>
      </c>
      <c r="F17" s="1" t="s">
        <v>13</v>
      </c>
      <c r="G17" s="1">
        <v>30120</v>
      </c>
      <c r="H17" s="1">
        <v>3</v>
      </c>
      <c r="I17" s="1">
        <v>4191</v>
      </c>
      <c r="J17" s="1" t="str">
        <f t="shared" si="0"/>
        <v>Yes</v>
      </c>
      <c r="K17" s="1" t="str">
        <f t="shared" si="1"/>
        <v>Profit</v>
      </c>
      <c r="N17" s="6" t="s">
        <v>35</v>
      </c>
      <c r="O17" s="7">
        <v>20</v>
      </c>
    </row>
    <row r="18" spans="1:15" x14ac:dyDescent="0.25">
      <c r="A18" s="1">
        <v>1017</v>
      </c>
      <c r="B18" s="1" t="s">
        <v>25</v>
      </c>
      <c r="C18" s="1" t="s">
        <v>20</v>
      </c>
      <c r="D18" s="1" t="s">
        <v>40</v>
      </c>
      <c r="E18" s="1" t="s">
        <v>12</v>
      </c>
      <c r="F18" s="1" t="s">
        <v>13</v>
      </c>
      <c r="G18" s="1">
        <v>26691</v>
      </c>
      <c r="H18" s="1">
        <v>3</v>
      </c>
      <c r="I18" s="1">
        <v>3723</v>
      </c>
      <c r="J18" s="1" t="str">
        <f t="shared" si="0"/>
        <v>No</v>
      </c>
      <c r="K18" s="1" t="str">
        <f t="shared" si="1"/>
        <v>Profit</v>
      </c>
      <c r="N18" s="6" t="s">
        <v>86</v>
      </c>
      <c r="O18" s="7">
        <v>70</v>
      </c>
    </row>
    <row r="19" spans="1:15" x14ac:dyDescent="0.25">
      <c r="A19" s="1">
        <v>1018</v>
      </c>
      <c r="B19" s="1" t="s">
        <v>44</v>
      </c>
      <c r="C19" s="1" t="s">
        <v>10</v>
      </c>
      <c r="D19" s="1" t="s">
        <v>26</v>
      </c>
      <c r="E19" s="1" t="s">
        <v>27</v>
      </c>
      <c r="F19" s="1" t="s">
        <v>13</v>
      </c>
      <c r="G19" s="1">
        <v>48578</v>
      </c>
      <c r="H19" s="1">
        <v>2</v>
      </c>
      <c r="I19" s="1">
        <v>14544</v>
      </c>
      <c r="J19" s="1" t="str">
        <f t="shared" si="0"/>
        <v>Yes</v>
      </c>
      <c r="K19" s="1" t="str">
        <f t="shared" si="1"/>
        <v>Profit</v>
      </c>
    </row>
    <row r="20" spans="1:15" x14ac:dyDescent="0.25">
      <c r="A20" s="1">
        <v>1019</v>
      </c>
      <c r="B20" s="1" t="s">
        <v>39</v>
      </c>
      <c r="C20" s="1" t="s">
        <v>10</v>
      </c>
      <c r="D20" s="1" t="s">
        <v>31</v>
      </c>
      <c r="E20" s="1" t="s">
        <v>12</v>
      </c>
      <c r="F20" s="1" t="s">
        <v>13</v>
      </c>
      <c r="G20" s="1">
        <v>22731</v>
      </c>
      <c r="H20" s="1">
        <v>2</v>
      </c>
      <c r="I20" s="1">
        <v>6552</v>
      </c>
      <c r="J20" s="1" t="str">
        <f t="shared" si="0"/>
        <v>No</v>
      </c>
      <c r="K20" s="1" t="str">
        <f t="shared" si="1"/>
        <v>Profit</v>
      </c>
    </row>
    <row r="21" spans="1:15" x14ac:dyDescent="0.25">
      <c r="A21" s="1">
        <v>1020</v>
      </c>
      <c r="B21" s="1" t="s">
        <v>45</v>
      </c>
      <c r="C21" s="1" t="s">
        <v>15</v>
      </c>
      <c r="D21" s="1" t="s">
        <v>36</v>
      </c>
      <c r="E21" s="1" t="s">
        <v>27</v>
      </c>
      <c r="F21" s="1" t="s">
        <v>13</v>
      </c>
      <c r="G21" s="1">
        <v>44882</v>
      </c>
      <c r="H21" s="1">
        <v>2</v>
      </c>
      <c r="I21" s="1">
        <v>7418</v>
      </c>
      <c r="J21" s="1" t="str">
        <f t="shared" si="0"/>
        <v>Yes</v>
      </c>
      <c r="K21" s="1" t="str">
        <f t="shared" si="1"/>
        <v>Profit</v>
      </c>
    </row>
    <row r="22" spans="1:15" x14ac:dyDescent="0.25">
      <c r="A22" s="1">
        <v>1021</v>
      </c>
      <c r="B22" s="1" t="s">
        <v>46</v>
      </c>
      <c r="C22" s="1" t="s">
        <v>35</v>
      </c>
      <c r="D22" s="1" t="s">
        <v>11</v>
      </c>
      <c r="E22" s="1" t="s">
        <v>21</v>
      </c>
      <c r="F22" s="1" t="s">
        <v>18</v>
      </c>
      <c r="G22" s="1">
        <v>74470</v>
      </c>
      <c r="H22" s="1">
        <v>2</v>
      </c>
      <c r="I22" s="1">
        <v>7518</v>
      </c>
      <c r="J22" s="1" t="str">
        <f t="shared" si="0"/>
        <v>Yes</v>
      </c>
      <c r="K22" s="1" t="str">
        <f t="shared" si="1"/>
        <v>Profit</v>
      </c>
    </row>
    <row r="23" spans="1:15" x14ac:dyDescent="0.25">
      <c r="A23" s="1">
        <v>1022</v>
      </c>
      <c r="B23" s="1" t="s">
        <v>47</v>
      </c>
      <c r="C23" s="1" t="s">
        <v>10</v>
      </c>
      <c r="D23" s="1" t="s">
        <v>16</v>
      </c>
      <c r="E23" s="1" t="s">
        <v>12</v>
      </c>
      <c r="F23" s="1" t="s">
        <v>13</v>
      </c>
      <c r="G23" s="1">
        <v>88883</v>
      </c>
      <c r="H23" s="1">
        <v>2</v>
      </c>
      <c r="I23" s="1">
        <v>8166</v>
      </c>
      <c r="J23" s="1" t="str">
        <f t="shared" si="0"/>
        <v>Yes</v>
      </c>
      <c r="K23" s="1" t="str">
        <f t="shared" si="1"/>
        <v>Profit</v>
      </c>
    </row>
    <row r="24" spans="1:15" x14ac:dyDescent="0.25">
      <c r="A24" s="1">
        <v>1023</v>
      </c>
      <c r="B24" s="1" t="s">
        <v>48</v>
      </c>
      <c r="C24" s="1" t="s">
        <v>10</v>
      </c>
      <c r="D24" s="1" t="s">
        <v>11</v>
      </c>
      <c r="E24" s="1" t="s">
        <v>21</v>
      </c>
      <c r="F24" s="1" t="s">
        <v>18</v>
      </c>
      <c r="G24" s="1">
        <v>87156</v>
      </c>
      <c r="H24" s="1">
        <v>2</v>
      </c>
      <c r="I24" s="1">
        <v>-2202</v>
      </c>
      <c r="J24" s="1" t="str">
        <f t="shared" si="0"/>
        <v>Yes</v>
      </c>
      <c r="K24" s="1" t="str">
        <f t="shared" si="1"/>
        <v>Loss</v>
      </c>
    </row>
    <row r="25" spans="1:15" x14ac:dyDescent="0.25">
      <c r="A25" s="1">
        <v>1024</v>
      </c>
      <c r="B25" s="1" t="s">
        <v>49</v>
      </c>
      <c r="C25" s="1" t="s">
        <v>10</v>
      </c>
      <c r="D25" s="1" t="s">
        <v>11</v>
      </c>
      <c r="E25" s="1" t="s">
        <v>32</v>
      </c>
      <c r="F25" s="1" t="s">
        <v>18</v>
      </c>
      <c r="G25" s="1">
        <v>57392</v>
      </c>
      <c r="H25" s="1">
        <v>3</v>
      </c>
      <c r="I25" s="1">
        <v>-2885</v>
      </c>
      <c r="J25" s="1" t="str">
        <f t="shared" si="0"/>
        <v>Yes</v>
      </c>
      <c r="K25" s="1" t="str">
        <f t="shared" si="1"/>
        <v>Loss</v>
      </c>
    </row>
    <row r="26" spans="1:15" x14ac:dyDescent="0.25">
      <c r="A26" s="1">
        <v>1025</v>
      </c>
      <c r="B26" s="1" t="s">
        <v>50</v>
      </c>
      <c r="C26" s="1" t="s">
        <v>10</v>
      </c>
      <c r="D26" s="1" t="s">
        <v>29</v>
      </c>
      <c r="E26" s="1" t="s">
        <v>32</v>
      </c>
      <c r="F26" s="1" t="s">
        <v>18</v>
      </c>
      <c r="G26" s="1">
        <v>68630</v>
      </c>
      <c r="H26" s="1">
        <v>2</v>
      </c>
      <c r="I26" s="1">
        <v>-5949</v>
      </c>
      <c r="J26" s="1" t="str">
        <f t="shared" si="0"/>
        <v>Yes</v>
      </c>
      <c r="K26" s="1" t="str">
        <f t="shared" si="1"/>
        <v>Loss</v>
      </c>
    </row>
    <row r="27" spans="1:15" x14ac:dyDescent="0.25">
      <c r="A27" s="1">
        <v>1026</v>
      </c>
      <c r="B27" s="1" t="s">
        <v>51</v>
      </c>
      <c r="C27" s="1" t="s">
        <v>20</v>
      </c>
      <c r="D27" s="1" t="s">
        <v>23</v>
      </c>
      <c r="E27" s="1" t="s">
        <v>21</v>
      </c>
      <c r="F27" s="1" t="s">
        <v>18</v>
      </c>
      <c r="G27" s="1">
        <v>25764</v>
      </c>
      <c r="H27" s="1">
        <v>3</v>
      </c>
      <c r="I27" s="1">
        <v>3687</v>
      </c>
      <c r="J27" s="1" t="str">
        <f t="shared" si="0"/>
        <v>No</v>
      </c>
      <c r="K27" s="1" t="str">
        <f t="shared" si="1"/>
        <v>Profit</v>
      </c>
    </row>
    <row r="28" spans="1:15" x14ac:dyDescent="0.25">
      <c r="A28" s="1">
        <v>1027</v>
      </c>
      <c r="B28" s="1" t="s">
        <v>22</v>
      </c>
      <c r="C28" s="1" t="s">
        <v>35</v>
      </c>
      <c r="D28" s="1" t="s">
        <v>31</v>
      </c>
      <c r="E28" s="1" t="s">
        <v>24</v>
      </c>
      <c r="F28" s="1" t="s">
        <v>13</v>
      </c>
      <c r="G28" s="1">
        <v>68227</v>
      </c>
      <c r="H28" s="1">
        <v>2</v>
      </c>
      <c r="I28" s="1">
        <v>11817</v>
      </c>
      <c r="J28" s="1" t="str">
        <f t="shared" si="0"/>
        <v>Yes</v>
      </c>
      <c r="K28" s="1" t="str">
        <f t="shared" si="1"/>
        <v>Profit</v>
      </c>
    </row>
    <row r="29" spans="1:15" x14ac:dyDescent="0.25">
      <c r="A29" s="1">
        <v>1028</v>
      </c>
      <c r="B29" s="1" t="s">
        <v>52</v>
      </c>
      <c r="C29" s="1" t="s">
        <v>20</v>
      </c>
      <c r="D29" s="1" t="s">
        <v>53</v>
      </c>
      <c r="E29" s="1" t="s">
        <v>27</v>
      </c>
      <c r="F29" s="1" t="s">
        <v>13</v>
      </c>
      <c r="G29" s="1">
        <v>38728</v>
      </c>
      <c r="H29" s="1">
        <v>1</v>
      </c>
      <c r="I29" s="1">
        <v>6909</v>
      </c>
      <c r="J29" s="1" t="str">
        <f t="shared" si="0"/>
        <v>Yes</v>
      </c>
      <c r="K29" s="1" t="str">
        <f t="shared" si="1"/>
        <v>Profit</v>
      </c>
    </row>
    <row r="30" spans="1:15" x14ac:dyDescent="0.25">
      <c r="A30" s="1">
        <v>1029</v>
      </c>
      <c r="B30" s="1" t="s">
        <v>19</v>
      </c>
      <c r="C30" s="1" t="s">
        <v>15</v>
      </c>
      <c r="D30" s="1" t="s">
        <v>11</v>
      </c>
      <c r="E30" s="1" t="s">
        <v>21</v>
      </c>
      <c r="F30" s="1" t="s">
        <v>18</v>
      </c>
      <c r="G30" s="1">
        <v>23343</v>
      </c>
      <c r="H30" s="1">
        <v>2</v>
      </c>
      <c r="I30" s="1">
        <v>3918</v>
      </c>
      <c r="J30" s="1" t="str">
        <f t="shared" si="0"/>
        <v>No</v>
      </c>
      <c r="K30" s="1" t="str">
        <f t="shared" si="1"/>
        <v>Profit</v>
      </c>
    </row>
    <row r="31" spans="1:15" x14ac:dyDescent="0.25">
      <c r="A31" s="1">
        <v>1030</v>
      </c>
      <c r="B31" s="1" t="s">
        <v>47</v>
      </c>
      <c r="C31" s="1" t="s">
        <v>10</v>
      </c>
      <c r="D31" s="1" t="s">
        <v>16</v>
      </c>
      <c r="E31" s="1" t="s">
        <v>17</v>
      </c>
      <c r="F31" s="1" t="s">
        <v>18</v>
      </c>
      <c r="G31" s="1">
        <v>28973</v>
      </c>
      <c r="H31" s="1">
        <v>3</v>
      </c>
      <c r="I31" s="1">
        <v>6620</v>
      </c>
      <c r="J31" s="1" t="str">
        <f t="shared" si="0"/>
        <v>No</v>
      </c>
      <c r="K31" s="1" t="str">
        <f t="shared" si="1"/>
        <v>Profit</v>
      </c>
    </row>
    <row r="32" spans="1:15" x14ac:dyDescent="0.25">
      <c r="A32" s="1">
        <v>1031</v>
      </c>
      <c r="B32" s="1" t="s">
        <v>54</v>
      </c>
      <c r="C32" s="1" t="s">
        <v>10</v>
      </c>
      <c r="D32" s="1" t="s">
        <v>40</v>
      </c>
      <c r="E32" s="1" t="s">
        <v>32</v>
      </c>
      <c r="F32" s="1" t="s">
        <v>18</v>
      </c>
      <c r="G32" s="1">
        <v>76694</v>
      </c>
      <c r="H32" s="1">
        <v>2</v>
      </c>
      <c r="I32" s="1">
        <v>17009</v>
      </c>
      <c r="J32" s="1" t="str">
        <f t="shared" si="0"/>
        <v>Yes</v>
      </c>
      <c r="K32" s="1" t="str">
        <f t="shared" si="1"/>
        <v>Profit</v>
      </c>
    </row>
    <row r="33" spans="1:11" x14ac:dyDescent="0.25">
      <c r="A33" s="1">
        <v>1032</v>
      </c>
      <c r="B33" s="1" t="s">
        <v>55</v>
      </c>
      <c r="C33" s="1" t="s">
        <v>35</v>
      </c>
      <c r="D33" s="1" t="s">
        <v>16</v>
      </c>
      <c r="E33" s="1" t="s">
        <v>27</v>
      </c>
      <c r="F33" s="1" t="s">
        <v>13</v>
      </c>
      <c r="G33" s="1">
        <v>25160</v>
      </c>
      <c r="H33" s="1">
        <v>2</v>
      </c>
      <c r="I33" s="1">
        <v>-260</v>
      </c>
      <c r="J33" s="1" t="str">
        <f t="shared" si="0"/>
        <v>No</v>
      </c>
      <c r="K33" s="1" t="str">
        <f t="shared" si="1"/>
        <v>Loss</v>
      </c>
    </row>
    <row r="34" spans="1:11" x14ac:dyDescent="0.25">
      <c r="A34" s="1">
        <v>1033</v>
      </c>
      <c r="B34" s="1" t="s">
        <v>56</v>
      </c>
      <c r="C34" s="1" t="s">
        <v>15</v>
      </c>
      <c r="D34" s="1" t="s">
        <v>11</v>
      </c>
      <c r="E34" s="1" t="s">
        <v>24</v>
      </c>
      <c r="F34" s="1" t="s">
        <v>13</v>
      </c>
      <c r="G34" s="1">
        <v>30141</v>
      </c>
      <c r="H34" s="1">
        <v>3</v>
      </c>
      <c r="I34" s="1">
        <v>-1035</v>
      </c>
      <c r="J34" s="1" t="str">
        <f t="shared" si="0"/>
        <v>Yes</v>
      </c>
      <c r="K34" s="1" t="str">
        <f t="shared" si="1"/>
        <v>Loss</v>
      </c>
    </row>
    <row r="35" spans="1:11" x14ac:dyDescent="0.25">
      <c r="A35" s="1">
        <v>1034</v>
      </c>
      <c r="B35" s="1" t="s">
        <v>57</v>
      </c>
      <c r="C35" s="1" t="s">
        <v>35</v>
      </c>
      <c r="D35" s="1" t="s">
        <v>23</v>
      </c>
      <c r="E35" s="1" t="s">
        <v>32</v>
      </c>
      <c r="F35" s="1" t="s">
        <v>18</v>
      </c>
      <c r="G35" s="1">
        <v>29352</v>
      </c>
      <c r="H35" s="1">
        <v>2</v>
      </c>
      <c r="I35" s="1">
        <v>1317</v>
      </c>
      <c r="J35" s="1" t="str">
        <f t="shared" si="0"/>
        <v>No</v>
      </c>
      <c r="K35" s="1" t="str">
        <f t="shared" si="1"/>
        <v>Profit</v>
      </c>
    </row>
    <row r="36" spans="1:11" x14ac:dyDescent="0.25">
      <c r="A36" s="1">
        <v>1035</v>
      </c>
      <c r="B36" s="1" t="s">
        <v>58</v>
      </c>
      <c r="C36" s="1" t="s">
        <v>20</v>
      </c>
      <c r="D36" s="1" t="s">
        <v>40</v>
      </c>
      <c r="E36" s="1" t="s">
        <v>21</v>
      </c>
      <c r="F36" s="1" t="s">
        <v>18</v>
      </c>
      <c r="G36" s="1">
        <v>81531</v>
      </c>
      <c r="H36" s="1">
        <v>2</v>
      </c>
      <c r="I36" s="1">
        <v>4858</v>
      </c>
      <c r="J36" s="1" t="str">
        <f t="shared" si="0"/>
        <v>Yes</v>
      </c>
      <c r="K36" s="1" t="str">
        <f t="shared" si="1"/>
        <v>Profit</v>
      </c>
    </row>
    <row r="37" spans="1:11" x14ac:dyDescent="0.25">
      <c r="A37" s="1">
        <v>1036</v>
      </c>
      <c r="B37" s="1" t="s">
        <v>37</v>
      </c>
      <c r="C37" s="1" t="s">
        <v>20</v>
      </c>
      <c r="D37" s="1" t="s">
        <v>11</v>
      </c>
      <c r="E37" s="1" t="s">
        <v>12</v>
      </c>
      <c r="F37" s="1" t="s">
        <v>13</v>
      </c>
      <c r="G37" s="1">
        <v>20385</v>
      </c>
      <c r="H37" s="1">
        <v>1</v>
      </c>
      <c r="I37" s="1">
        <v>4929</v>
      </c>
      <c r="J37" s="1" t="str">
        <f t="shared" si="0"/>
        <v>No</v>
      </c>
      <c r="K37" s="1" t="str">
        <f t="shared" si="1"/>
        <v>Profit</v>
      </c>
    </row>
    <row r="38" spans="1:11" x14ac:dyDescent="0.25">
      <c r="A38" s="1">
        <v>1037</v>
      </c>
      <c r="B38" s="1" t="s">
        <v>59</v>
      </c>
      <c r="C38" s="1" t="s">
        <v>10</v>
      </c>
      <c r="D38" s="1" t="s">
        <v>29</v>
      </c>
      <c r="E38" s="1" t="s">
        <v>21</v>
      </c>
      <c r="F38" s="1" t="s">
        <v>18</v>
      </c>
      <c r="G38" s="1">
        <v>9563</v>
      </c>
      <c r="H38" s="1">
        <v>2</v>
      </c>
      <c r="I38" s="1">
        <v>-235</v>
      </c>
      <c r="J38" s="1" t="str">
        <f t="shared" si="0"/>
        <v>No</v>
      </c>
      <c r="K38" s="1" t="str">
        <f t="shared" si="1"/>
        <v>Loss</v>
      </c>
    </row>
    <row r="39" spans="1:11" x14ac:dyDescent="0.25">
      <c r="A39" s="1">
        <v>1038</v>
      </c>
      <c r="B39" s="1" t="s">
        <v>38</v>
      </c>
      <c r="C39" s="1" t="s">
        <v>20</v>
      </c>
      <c r="D39" s="1" t="s">
        <v>53</v>
      </c>
      <c r="E39" s="1" t="s">
        <v>24</v>
      </c>
      <c r="F39" s="1" t="s">
        <v>13</v>
      </c>
      <c r="G39" s="1">
        <v>62611</v>
      </c>
      <c r="H39" s="1">
        <v>1</v>
      </c>
      <c r="I39" s="1">
        <v>-1263</v>
      </c>
      <c r="J39" s="1" t="str">
        <f t="shared" si="0"/>
        <v>Yes</v>
      </c>
      <c r="K39" s="1" t="str">
        <f t="shared" si="1"/>
        <v>Loss</v>
      </c>
    </row>
    <row r="40" spans="1:11" x14ac:dyDescent="0.25">
      <c r="A40" s="1">
        <v>1039</v>
      </c>
      <c r="B40" s="1" t="s">
        <v>14</v>
      </c>
      <c r="C40" s="1" t="s">
        <v>15</v>
      </c>
      <c r="D40" s="1" t="s">
        <v>11</v>
      </c>
      <c r="E40" s="1" t="s">
        <v>27</v>
      </c>
      <c r="F40" s="1" t="s">
        <v>13</v>
      </c>
      <c r="G40" s="1">
        <v>23722</v>
      </c>
      <c r="H40" s="1">
        <v>3</v>
      </c>
      <c r="I40" s="1">
        <v>7071</v>
      </c>
      <c r="J40" s="1" t="str">
        <f t="shared" si="0"/>
        <v>No</v>
      </c>
      <c r="K40" s="1" t="str">
        <f t="shared" si="1"/>
        <v>Profit</v>
      </c>
    </row>
    <row r="41" spans="1:11" x14ac:dyDescent="0.25">
      <c r="A41" s="1">
        <v>1040</v>
      </c>
      <c r="B41" s="1" t="s">
        <v>47</v>
      </c>
      <c r="C41" s="1" t="s">
        <v>15</v>
      </c>
      <c r="D41" s="1" t="s">
        <v>29</v>
      </c>
      <c r="E41" s="1" t="s">
        <v>24</v>
      </c>
      <c r="F41" s="1" t="s">
        <v>13</v>
      </c>
      <c r="G41" s="1">
        <v>8743</v>
      </c>
      <c r="H41" s="1">
        <v>1</v>
      </c>
      <c r="I41" s="1">
        <v>1762</v>
      </c>
      <c r="J41" s="1" t="str">
        <f t="shared" si="0"/>
        <v>No</v>
      </c>
      <c r="K41" s="1" t="str">
        <f t="shared" si="1"/>
        <v>Profit</v>
      </c>
    </row>
    <row r="42" spans="1:11" x14ac:dyDescent="0.25">
      <c r="A42" s="1">
        <v>1041</v>
      </c>
      <c r="B42" s="1" t="s">
        <v>60</v>
      </c>
      <c r="C42" s="1" t="s">
        <v>15</v>
      </c>
      <c r="D42" s="1" t="s">
        <v>23</v>
      </c>
      <c r="E42" s="1" t="s">
        <v>17</v>
      </c>
      <c r="F42" s="1" t="s">
        <v>18</v>
      </c>
      <c r="G42" s="1">
        <v>73102</v>
      </c>
      <c r="H42" s="1">
        <v>2</v>
      </c>
      <c r="I42" s="1">
        <v>-6473</v>
      </c>
      <c r="J42" s="1" t="str">
        <f t="shared" si="0"/>
        <v>Yes</v>
      </c>
      <c r="K42" s="1" t="str">
        <f t="shared" si="1"/>
        <v>Loss</v>
      </c>
    </row>
    <row r="43" spans="1:11" x14ac:dyDescent="0.25">
      <c r="A43" s="1">
        <v>1042</v>
      </c>
      <c r="B43" s="1" t="s">
        <v>61</v>
      </c>
      <c r="C43" s="1" t="s">
        <v>15</v>
      </c>
      <c r="D43" s="1" t="s">
        <v>26</v>
      </c>
      <c r="E43" s="1" t="s">
        <v>21</v>
      </c>
      <c r="F43" s="1" t="s">
        <v>18</v>
      </c>
      <c r="G43" s="1">
        <v>41890</v>
      </c>
      <c r="H43" s="1">
        <v>2</v>
      </c>
      <c r="I43" s="1">
        <v>-2922</v>
      </c>
      <c r="J43" s="1" t="str">
        <f t="shared" si="0"/>
        <v>Yes</v>
      </c>
      <c r="K43" s="1" t="str">
        <f t="shared" si="1"/>
        <v>Loss</v>
      </c>
    </row>
    <row r="44" spans="1:11" x14ac:dyDescent="0.25">
      <c r="A44" s="1">
        <v>1043</v>
      </c>
      <c r="B44" s="1" t="s">
        <v>62</v>
      </c>
      <c r="C44" s="1" t="s">
        <v>20</v>
      </c>
      <c r="D44" s="1" t="s">
        <v>23</v>
      </c>
      <c r="E44" s="1" t="s">
        <v>32</v>
      </c>
      <c r="F44" s="1" t="s">
        <v>18</v>
      </c>
      <c r="G44" s="1">
        <v>89088</v>
      </c>
      <c r="H44" s="1">
        <v>1</v>
      </c>
      <c r="I44" s="1">
        <v>-2573</v>
      </c>
      <c r="J44" s="1" t="str">
        <f t="shared" si="0"/>
        <v>Yes</v>
      </c>
      <c r="K44" s="1" t="str">
        <f t="shared" si="1"/>
        <v>Loss</v>
      </c>
    </row>
    <row r="45" spans="1:11" x14ac:dyDescent="0.25">
      <c r="A45" s="1">
        <v>1044</v>
      </c>
      <c r="B45" s="1" t="s">
        <v>52</v>
      </c>
      <c r="C45" s="1" t="s">
        <v>10</v>
      </c>
      <c r="D45" s="1" t="s">
        <v>23</v>
      </c>
      <c r="E45" s="1" t="s">
        <v>27</v>
      </c>
      <c r="F45" s="1" t="s">
        <v>13</v>
      </c>
      <c r="G45" s="1">
        <v>16125</v>
      </c>
      <c r="H45" s="1">
        <v>2</v>
      </c>
      <c r="I45" s="1">
        <v>1879</v>
      </c>
      <c r="J45" s="1" t="str">
        <f t="shared" si="0"/>
        <v>No</v>
      </c>
      <c r="K45" s="1" t="str">
        <f t="shared" si="1"/>
        <v>Profit</v>
      </c>
    </row>
    <row r="46" spans="1:11" x14ac:dyDescent="0.25">
      <c r="A46" s="1">
        <v>1045</v>
      </c>
      <c r="B46" s="1" t="s">
        <v>61</v>
      </c>
      <c r="C46" s="1" t="s">
        <v>35</v>
      </c>
      <c r="D46" s="1" t="s">
        <v>16</v>
      </c>
      <c r="E46" s="1" t="s">
        <v>24</v>
      </c>
      <c r="F46" s="1" t="s">
        <v>13</v>
      </c>
      <c r="G46" s="1">
        <v>11224</v>
      </c>
      <c r="H46" s="1">
        <v>2</v>
      </c>
      <c r="I46" s="1">
        <v>-513</v>
      </c>
      <c r="J46" s="1" t="str">
        <f t="shared" si="0"/>
        <v>No</v>
      </c>
      <c r="K46" s="1" t="str">
        <f t="shared" si="1"/>
        <v>Loss</v>
      </c>
    </row>
    <row r="47" spans="1:11" x14ac:dyDescent="0.25">
      <c r="A47" s="1">
        <v>1046</v>
      </c>
      <c r="B47" s="1" t="s">
        <v>63</v>
      </c>
      <c r="C47" s="1" t="s">
        <v>15</v>
      </c>
      <c r="D47" s="1" t="s">
        <v>40</v>
      </c>
      <c r="E47" s="1" t="s">
        <v>21</v>
      </c>
      <c r="F47" s="1" t="s">
        <v>18</v>
      </c>
      <c r="G47" s="1">
        <v>3562</v>
      </c>
      <c r="H47" s="1">
        <v>1</v>
      </c>
      <c r="I47" s="1">
        <v>467</v>
      </c>
      <c r="J47" s="1" t="str">
        <f t="shared" si="0"/>
        <v>No</v>
      </c>
      <c r="K47" s="1" t="str">
        <f t="shared" si="1"/>
        <v>Profit</v>
      </c>
    </row>
    <row r="48" spans="1:11" x14ac:dyDescent="0.25">
      <c r="A48" s="1">
        <v>1047</v>
      </c>
      <c r="B48" s="1" t="s">
        <v>56</v>
      </c>
      <c r="C48" s="1" t="s">
        <v>35</v>
      </c>
      <c r="D48" s="1" t="s">
        <v>26</v>
      </c>
      <c r="E48" s="1" t="s">
        <v>12</v>
      </c>
      <c r="F48" s="1" t="s">
        <v>13</v>
      </c>
      <c r="G48" s="1">
        <v>88155</v>
      </c>
      <c r="H48" s="1">
        <v>2</v>
      </c>
      <c r="I48" s="1">
        <v>8535</v>
      </c>
      <c r="J48" s="1" t="str">
        <f t="shared" si="0"/>
        <v>Yes</v>
      </c>
      <c r="K48" s="1" t="str">
        <f t="shared" si="1"/>
        <v>Profit</v>
      </c>
    </row>
    <row r="49" spans="1:11" x14ac:dyDescent="0.25">
      <c r="A49" s="1">
        <v>1048</v>
      </c>
      <c r="B49" s="1" t="s">
        <v>46</v>
      </c>
      <c r="C49" s="1" t="s">
        <v>35</v>
      </c>
      <c r="D49" s="1" t="s">
        <v>29</v>
      </c>
      <c r="E49" s="1" t="s">
        <v>17</v>
      </c>
      <c r="F49" s="1" t="s">
        <v>18</v>
      </c>
      <c r="G49" s="1">
        <v>18951</v>
      </c>
      <c r="H49" s="1">
        <v>3</v>
      </c>
      <c r="I49" s="1">
        <v>1255</v>
      </c>
      <c r="J49" s="1" t="str">
        <f t="shared" si="0"/>
        <v>No</v>
      </c>
      <c r="K49" s="1" t="str">
        <f t="shared" si="1"/>
        <v>Profit</v>
      </c>
    </row>
    <row r="50" spans="1:11" x14ac:dyDescent="0.25">
      <c r="A50" s="1">
        <v>1049</v>
      </c>
      <c r="B50" s="1" t="s">
        <v>14</v>
      </c>
      <c r="C50" s="1" t="s">
        <v>10</v>
      </c>
      <c r="D50" s="1" t="s">
        <v>64</v>
      </c>
      <c r="E50" s="1" t="s">
        <v>21</v>
      </c>
      <c r="F50" s="1" t="s">
        <v>18</v>
      </c>
      <c r="G50" s="1">
        <v>23972</v>
      </c>
      <c r="H50" s="1">
        <v>1</v>
      </c>
      <c r="I50" s="1">
        <v>2015</v>
      </c>
      <c r="J50" s="1" t="str">
        <f t="shared" si="0"/>
        <v>No</v>
      </c>
      <c r="K50" s="1" t="str">
        <f t="shared" si="1"/>
        <v>Profit</v>
      </c>
    </row>
    <row r="51" spans="1:11" x14ac:dyDescent="0.25">
      <c r="A51" s="1">
        <v>1050</v>
      </c>
      <c r="B51" s="1" t="s">
        <v>63</v>
      </c>
      <c r="C51" s="1" t="s">
        <v>15</v>
      </c>
      <c r="D51" s="1" t="s">
        <v>64</v>
      </c>
      <c r="E51" s="1" t="s">
        <v>24</v>
      </c>
      <c r="F51" s="1" t="s">
        <v>13</v>
      </c>
      <c r="G51" s="1">
        <v>28347</v>
      </c>
      <c r="H51" s="1">
        <v>2</v>
      </c>
      <c r="I51" s="1">
        <v>4446</v>
      </c>
      <c r="J51" s="1" t="str">
        <f t="shared" si="0"/>
        <v>No</v>
      </c>
      <c r="K51" s="1" t="str">
        <f t="shared" si="1"/>
        <v>Profit</v>
      </c>
    </row>
    <row r="52" spans="1:11" x14ac:dyDescent="0.25">
      <c r="A52" s="1">
        <v>1051</v>
      </c>
      <c r="B52" s="1" t="s">
        <v>57</v>
      </c>
      <c r="C52" s="1" t="s">
        <v>15</v>
      </c>
      <c r="D52" s="1" t="s">
        <v>36</v>
      </c>
      <c r="E52" s="1" t="s">
        <v>12</v>
      </c>
      <c r="F52" s="1" t="s">
        <v>13</v>
      </c>
      <c r="G52" s="1">
        <v>40713</v>
      </c>
      <c r="H52" s="1">
        <v>2</v>
      </c>
      <c r="I52" s="1">
        <v>3925</v>
      </c>
      <c r="J52" s="1" t="str">
        <f t="shared" si="0"/>
        <v>Yes</v>
      </c>
      <c r="K52" s="1" t="str">
        <f t="shared" si="1"/>
        <v>Profit</v>
      </c>
    </row>
    <row r="53" spans="1:11" x14ac:dyDescent="0.25">
      <c r="A53" s="1">
        <v>1052</v>
      </c>
      <c r="B53" s="1" t="s">
        <v>38</v>
      </c>
      <c r="C53" s="1" t="s">
        <v>35</v>
      </c>
      <c r="D53" s="1" t="s">
        <v>64</v>
      </c>
      <c r="E53" s="1" t="s">
        <v>24</v>
      </c>
      <c r="F53" s="1" t="s">
        <v>13</v>
      </c>
      <c r="G53" s="1">
        <v>69178</v>
      </c>
      <c r="H53" s="1">
        <v>2</v>
      </c>
      <c r="I53" s="1">
        <v>4988</v>
      </c>
      <c r="J53" s="1" t="str">
        <f t="shared" si="0"/>
        <v>Yes</v>
      </c>
      <c r="K53" s="1" t="str">
        <f t="shared" si="1"/>
        <v>Profit</v>
      </c>
    </row>
    <row r="54" spans="1:11" x14ac:dyDescent="0.25">
      <c r="A54" s="1">
        <v>1053</v>
      </c>
      <c r="B54" s="1" t="s">
        <v>65</v>
      </c>
      <c r="C54" s="1" t="s">
        <v>35</v>
      </c>
      <c r="D54" s="1" t="s">
        <v>40</v>
      </c>
      <c r="E54" s="1" t="s">
        <v>21</v>
      </c>
      <c r="F54" s="1" t="s">
        <v>18</v>
      </c>
      <c r="G54" s="1">
        <v>25761</v>
      </c>
      <c r="H54" s="1">
        <v>3</v>
      </c>
      <c r="I54" s="1">
        <v>2939</v>
      </c>
      <c r="J54" s="1" t="str">
        <f t="shared" si="0"/>
        <v>No</v>
      </c>
      <c r="K54" s="1" t="str">
        <f t="shared" si="1"/>
        <v>Profit</v>
      </c>
    </row>
    <row r="55" spans="1:11" x14ac:dyDescent="0.25">
      <c r="A55" s="1">
        <v>1054</v>
      </c>
      <c r="B55" s="1" t="s">
        <v>56</v>
      </c>
      <c r="C55" s="1" t="s">
        <v>35</v>
      </c>
      <c r="D55" s="1" t="s">
        <v>53</v>
      </c>
      <c r="E55" s="1" t="s">
        <v>12</v>
      </c>
      <c r="F55" s="1" t="s">
        <v>13</v>
      </c>
      <c r="G55" s="1">
        <v>80110</v>
      </c>
      <c r="H55" s="1">
        <v>2</v>
      </c>
      <c r="I55" s="1">
        <v>-1731</v>
      </c>
      <c r="J55" s="1" t="str">
        <f t="shared" si="0"/>
        <v>Yes</v>
      </c>
      <c r="K55" s="1" t="str">
        <f t="shared" si="1"/>
        <v>Loss</v>
      </c>
    </row>
    <row r="56" spans="1:11" x14ac:dyDescent="0.25">
      <c r="A56" s="1">
        <v>1055</v>
      </c>
      <c r="B56" s="1" t="s">
        <v>66</v>
      </c>
      <c r="C56" s="1" t="s">
        <v>35</v>
      </c>
      <c r="D56" s="1" t="s">
        <v>31</v>
      </c>
      <c r="E56" s="1" t="s">
        <v>17</v>
      </c>
      <c r="F56" s="1" t="s">
        <v>18</v>
      </c>
      <c r="G56" s="1">
        <v>37957</v>
      </c>
      <c r="H56" s="1">
        <v>1</v>
      </c>
      <c r="I56" s="1">
        <v>-3435</v>
      </c>
      <c r="J56" s="1" t="str">
        <f t="shared" si="0"/>
        <v>Yes</v>
      </c>
      <c r="K56" s="1" t="str">
        <f t="shared" si="1"/>
        <v>Loss</v>
      </c>
    </row>
    <row r="57" spans="1:11" x14ac:dyDescent="0.25">
      <c r="A57" s="1">
        <v>1056</v>
      </c>
      <c r="B57" s="1" t="s">
        <v>67</v>
      </c>
      <c r="C57" s="1" t="s">
        <v>10</v>
      </c>
      <c r="D57" s="1" t="s">
        <v>29</v>
      </c>
      <c r="E57" s="1" t="s">
        <v>12</v>
      </c>
      <c r="F57" s="1" t="s">
        <v>13</v>
      </c>
      <c r="G57" s="1">
        <v>60195</v>
      </c>
      <c r="H57" s="1">
        <v>2</v>
      </c>
      <c r="I57" s="1">
        <v>13599</v>
      </c>
      <c r="J57" s="1" t="str">
        <f t="shared" si="0"/>
        <v>Yes</v>
      </c>
      <c r="K57" s="1" t="str">
        <f t="shared" si="1"/>
        <v>Profit</v>
      </c>
    </row>
    <row r="58" spans="1:11" x14ac:dyDescent="0.25">
      <c r="A58" s="1">
        <v>1057</v>
      </c>
      <c r="B58" s="1" t="s">
        <v>45</v>
      </c>
      <c r="C58" s="1" t="s">
        <v>20</v>
      </c>
      <c r="D58" s="1" t="s">
        <v>64</v>
      </c>
      <c r="E58" s="1" t="s">
        <v>12</v>
      </c>
      <c r="F58" s="1" t="s">
        <v>13</v>
      </c>
      <c r="G58" s="1">
        <v>77002</v>
      </c>
      <c r="H58" s="1">
        <v>1</v>
      </c>
      <c r="I58" s="1">
        <v>20617</v>
      </c>
      <c r="J58" s="1" t="str">
        <f t="shared" si="0"/>
        <v>Yes</v>
      </c>
      <c r="K58" s="1" t="str">
        <f t="shared" si="1"/>
        <v>Profit</v>
      </c>
    </row>
    <row r="59" spans="1:11" x14ac:dyDescent="0.25">
      <c r="A59" s="1">
        <v>1058</v>
      </c>
      <c r="B59" s="1" t="s">
        <v>68</v>
      </c>
      <c r="C59" s="1" t="s">
        <v>10</v>
      </c>
      <c r="D59" s="1" t="s">
        <v>11</v>
      </c>
      <c r="E59" s="1" t="s">
        <v>12</v>
      </c>
      <c r="F59" s="1" t="s">
        <v>13</v>
      </c>
      <c r="G59" s="1">
        <v>45206</v>
      </c>
      <c r="H59" s="1">
        <v>2</v>
      </c>
      <c r="I59" s="1">
        <v>11587</v>
      </c>
      <c r="J59" s="1" t="str">
        <f t="shared" si="0"/>
        <v>Yes</v>
      </c>
      <c r="K59" s="1" t="str">
        <f t="shared" si="1"/>
        <v>Profit</v>
      </c>
    </row>
    <row r="60" spans="1:11" x14ac:dyDescent="0.25">
      <c r="A60" s="1">
        <v>1059</v>
      </c>
      <c r="B60" s="1" t="s">
        <v>66</v>
      </c>
      <c r="C60" s="1" t="s">
        <v>20</v>
      </c>
      <c r="D60" s="1" t="s">
        <v>40</v>
      </c>
      <c r="E60" s="1" t="s">
        <v>21</v>
      </c>
      <c r="F60" s="1" t="s">
        <v>18</v>
      </c>
      <c r="G60" s="1">
        <v>70909</v>
      </c>
      <c r="H60" s="1">
        <v>3</v>
      </c>
      <c r="I60" s="1">
        <v>5179</v>
      </c>
      <c r="J60" s="1" t="str">
        <f t="shared" si="0"/>
        <v>Yes</v>
      </c>
      <c r="K60" s="1" t="str">
        <f t="shared" si="1"/>
        <v>Profit</v>
      </c>
    </row>
    <row r="61" spans="1:11" x14ac:dyDescent="0.25">
      <c r="A61" s="1">
        <v>1060</v>
      </c>
      <c r="B61" s="1" t="s">
        <v>63</v>
      </c>
      <c r="C61" s="1" t="s">
        <v>35</v>
      </c>
      <c r="D61" s="1" t="s">
        <v>31</v>
      </c>
      <c r="E61" s="1" t="s">
        <v>27</v>
      </c>
      <c r="F61" s="1" t="s">
        <v>13</v>
      </c>
      <c r="G61" s="1">
        <v>51493</v>
      </c>
      <c r="H61" s="1">
        <v>2</v>
      </c>
      <c r="I61" s="1">
        <v>-2469</v>
      </c>
      <c r="J61" s="1" t="str">
        <f t="shared" si="0"/>
        <v>Yes</v>
      </c>
      <c r="K61" s="1" t="str">
        <f t="shared" si="1"/>
        <v>Loss</v>
      </c>
    </row>
    <row r="62" spans="1:11" x14ac:dyDescent="0.25">
      <c r="A62" s="1">
        <v>1061</v>
      </c>
      <c r="B62" s="1" t="s">
        <v>69</v>
      </c>
      <c r="C62" s="1" t="s">
        <v>20</v>
      </c>
      <c r="D62" s="1" t="s">
        <v>31</v>
      </c>
      <c r="E62" s="1" t="s">
        <v>32</v>
      </c>
      <c r="F62" s="1" t="s">
        <v>18</v>
      </c>
      <c r="G62" s="1">
        <v>79211</v>
      </c>
      <c r="H62" s="1">
        <v>2</v>
      </c>
      <c r="I62" s="1">
        <v>10145</v>
      </c>
      <c r="J62" s="1" t="str">
        <f t="shared" si="0"/>
        <v>Yes</v>
      </c>
      <c r="K62" s="1" t="str">
        <f t="shared" si="1"/>
        <v>Profit</v>
      </c>
    </row>
    <row r="63" spans="1:11" x14ac:dyDescent="0.25">
      <c r="A63" s="1">
        <v>1062</v>
      </c>
      <c r="B63" s="1" t="s">
        <v>70</v>
      </c>
      <c r="C63" s="1" t="s">
        <v>35</v>
      </c>
      <c r="D63" s="1" t="s">
        <v>53</v>
      </c>
      <c r="E63" s="1" t="s">
        <v>24</v>
      </c>
      <c r="F63" s="1" t="s">
        <v>13</v>
      </c>
      <c r="G63" s="1">
        <v>23446</v>
      </c>
      <c r="H63" s="1">
        <v>2</v>
      </c>
      <c r="I63" s="1">
        <v>-911</v>
      </c>
      <c r="J63" s="1" t="str">
        <f t="shared" si="0"/>
        <v>No</v>
      </c>
      <c r="K63" s="1" t="str">
        <f t="shared" si="1"/>
        <v>Loss</v>
      </c>
    </row>
    <row r="64" spans="1:11" x14ac:dyDescent="0.25">
      <c r="A64" s="1">
        <v>1063</v>
      </c>
      <c r="B64" s="1" t="s">
        <v>71</v>
      </c>
      <c r="C64" s="1" t="s">
        <v>15</v>
      </c>
      <c r="D64" s="1" t="s">
        <v>11</v>
      </c>
      <c r="E64" s="1" t="s">
        <v>12</v>
      </c>
      <c r="F64" s="1" t="s">
        <v>13</v>
      </c>
      <c r="G64" s="1">
        <v>72844</v>
      </c>
      <c r="H64" s="1">
        <v>3</v>
      </c>
      <c r="I64" s="1">
        <v>4526</v>
      </c>
      <c r="J64" s="1" t="str">
        <f t="shared" si="0"/>
        <v>Yes</v>
      </c>
      <c r="K64" s="1" t="str">
        <f t="shared" si="1"/>
        <v>Profit</v>
      </c>
    </row>
    <row r="65" spans="1:11" x14ac:dyDescent="0.25">
      <c r="A65" s="1">
        <v>1064</v>
      </c>
      <c r="B65" s="1" t="s">
        <v>70</v>
      </c>
      <c r="C65" s="1" t="s">
        <v>20</v>
      </c>
      <c r="D65" s="1" t="s">
        <v>53</v>
      </c>
      <c r="E65" s="1" t="s">
        <v>21</v>
      </c>
      <c r="F65" s="1" t="s">
        <v>18</v>
      </c>
      <c r="G65" s="1">
        <v>14019</v>
      </c>
      <c r="H65" s="1">
        <v>3</v>
      </c>
      <c r="I65" s="1">
        <v>3026</v>
      </c>
      <c r="J65" s="1" t="str">
        <f t="shared" si="0"/>
        <v>No</v>
      </c>
      <c r="K65" s="1" t="str">
        <f t="shared" si="1"/>
        <v>Profit</v>
      </c>
    </row>
    <row r="66" spans="1:11" x14ac:dyDescent="0.25">
      <c r="A66" s="1">
        <v>1065</v>
      </c>
      <c r="B66" s="1" t="s">
        <v>34</v>
      </c>
      <c r="C66" s="1" t="s">
        <v>20</v>
      </c>
      <c r="D66" s="1" t="s">
        <v>31</v>
      </c>
      <c r="E66" s="1" t="s">
        <v>27</v>
      </c>
      <c r="F66" s="1" t="s">
        <v>13</v>
      </c>
      <c r="G66" s="1">
        <v>24556</v>
      </c>
      <c r="H66" s="1">
        <v>2</v>
      </c>
      <c r="I66" s="1">
        <v>3175</v>
      </c>
      <c r="J66" s="1" t="str">
        <f t="shared" si="0"/>
        <v>No</v>
      </c>
      <c r="K66" s="1" t="str">
        <f t="shared" si="1"/>
        <v>Profit</v>
      </c>
    </row>
    <row r="67" spans="1:11" x14ac:dyDescent="0.25">
      <c r="A67" s="1">
        <v>1066</v>
      </c>
      <c r="B67" s="1" t="s">
        <v>42</v>
      </c>
      <c r="C67" s="1" t="s">
        <v>35</v>
      </c>
      <c r="D67" s="1" t="s">
        <v>26</v>
      </c>
      <c r="E67" s="1" t="s">
        <v>12</v>
      </c>
      <c r="F67" s="1" t="s">
        <v>13</v>
      </c>
      <c r="G67" s="1">
        <v>10174</v>
      </c>
      <c r="H67" s="1">
        <v>3</v>
      </c>
      <c r="I67" s="1">
        <v>-141</v>
      </c>
      <c r="J67" s="1" t="str">
        <f t="shared" ref="J67:J101" si="2">IF(G67&gt;30000,"Yes","No")</f>
        <v>No</v>
      </c>
      <c r="K67" s="1" t="str">
        <f t="shared" ref="K67:K101" si="3">IF(I67&gt;0,"Profit","Loss")</f>
        <v>Loss</v>
      </c>
    </row>
    <row r="68" spans="1:11" x14ac:dyDescent="0.25">
      <c r="A68" s="1">
        <v>1067</v>
      </c>
      <c r="B68" s="1" t="s">
        <v>71</v>
      </c>
      <c r="C68" s="1" t="s">
        <v>35</v>
      </c>
      <c r="D68" s="1" t="s">
        <v>53</v>
      </c>
      <c r="E68" s="1" t="s">
        <v>27</v>
      </c>
      <c r="F68" s="1" t="s">
        <v>13</v>
      </c>
      <c r="G68" s="1">
        <v>32706</v>
      </c>
      <c r="H68" s="1">
        <v>2</v>
      </c>
      <c r="I68" s="1">
        <v>4940</v>
      </c>
      <c r="J68" s="1" t="str">
        <f t="shared" si="2"/>
        <v>Yes</v>
      </c>
      <c r="K68" s="1" t="str">
        <f t="shared" si="3"/>
        <v>Profit</v>
      </c>
    </row>
    <row r="69" spans="1:11" x14ac:dyDescent="0.25">
      <c r="A69" s="1">
        <v>1068</v>
      </c>
      <c r="B69" s="1" t="s">
        <v>72</v>
      </c>
      <c r="C69" s="1" t="s">
        <v>10</v>
      </c>
      <c r="D69" s="1" t="s">
        <v>53</v>
      </c>
      <c r="E69" s="1" t="s">
        <v>27</v>
      </c>
      <c r="F69" s="1" t="s">
        <v>13</v>
      </c>
      <c r="G69" s="1">
        <v>39161</v>
      </c>
      <c r="H69" s="1">
        <v>2</v>
      </c>
      <c r="I69" s="1">
        <v>-3323</v>
      </c>
      <c r="J69" s="1" t="str">
        <f t="shared" si="2"/>
        <v>Yes</v>
      </c>
      <c r="K69" s="1" t="str">
        <f t="shared" si="3"/>
        <v>Loss</v>
      </c>
    </row>
    <row r="70" spans="1:11" x14ac:dyDescent="0.25">
      <c r="A70" s="1">
        <v>1069</v>
      </c>
      <c r="B70" s="1" t="s">
        <v>44</v>
      </c>
      <c r="C70" s="1" t="s">
        <v>10</v>
      </c>
      <c r="D70" s="1" t="s">
        <v>16</v>
      </c>
      <c r="E70" s="1" t="s">
        <v>17</v>
      </c>
      <c r="F70" s="1" t="s">
        <v>18</v>
      </c>
      <c r="G70" s="1">
        <v>32839</v>
      </c>
      <c r="H70" s="1">
        <v>1</v>
      </c>
      <c r="I70" s="1">
        <v>2903</v>
      </c>
      <c r="J70" s="1" t="str">
        <f t="shared" si="2"/>
        <v>Yes</v>
      </c>
      <c r="K70" s="1" t="str">
        <f t="shared" si="3"/>
        <v>Profit</v>
      </c>
    </row>
    <row r="71" spans="1:11" x14ac:dyDescent="0.25">
      <c r="A71" s="1">
        <v>1070</v>
      </c>
      <c r="B71" s="1" t="s">
        <v>72</v>
      </c>
      <c r="C71" s="1" t="s">
        <v>15</v>
      </c>
      <c r="D71" s="1" t="s">
        <v>23</v>
      </c>
      <c r="E71" s="1" t="s">
        <v>17</v>
      </c>
      <c r="F71" s="1" t="s">
        <v>18</v>
      </c>
      <c r="G71" s="1">
        <v>72076</v>
      </c>
      <c r="H71" s="1">
        <v>2</v>
      </c>
      <c r="I71" s="1">
        <v>14417</v>
      </c>
      <c r="J71" s="1" t="str">
        <f t="shared" si="2"/>
        <v>Yes</v>
      </c>
      <c r="K71" s="1" t="str">
        <f t="shared" si="3"/>
        <v>Profit</v>
      </c>
    </row>
    <row r="72" spans="1:11" x14ac:dyDescent="0.25">
      <c r="A72" s="1">
        <v>1071</v>
      </c>
      <c r="B72" s="1" t="s">
        <v>68</v>
      </c>
      <c r="C72" s="1" t="s">
        <v>15</v>
      </c>
      <c r="D72" s="1" t="s">
        <v>64</v>
      </c>
      <c r="E72" s="1" t="s">
        <v>12</v>
      </c>
      <c r="F72" s="1" t="s">
        <v>13</v>
      </c>
      <c r="G72" s="1">
        <v>71931</v>
      </c>
      <c r="H72" s="1">
        <v>1</v>
      </c>
      <c r="I72" s="1">
        <v>16156</v>
      </c>
      <c r="J72" s="1" t="str">
        <f t="shared" si="2"/>
        <v>Yes</v>
      </c>
      <c r="K72" s="1" t="str">
        <f t="shared" si="3"/>
        <v>Profit</v>
      </c>
    </row>
    <row r="73" spans="1:11" x14ac:dyDescent="0.25">
      <c r="A73" s="1">
        <v>1072</v>
      </c>
      <c r="B73" s="1" t="s">
        <v>73</v>
      </c>
      <c r="C73" s="1" t="s">
        <v>15</v>
      </c>
      <c r="D73" s="1" t="s">
        <v>31</v>
      </c>
      <c r="E73" s="1" t="s">
        <v>17</v>
      </c>
      <c r="F73" s="1" t="s">
        <v>18</v>
      </c>
      <c r="G73" s="1">
        <v>22003</v>
      </c>
      <c r="H73" s="1">
        <v>1</v>
      </c>
      <c r="I73" s="1">
        <v>5655</v>
      </c>
      <c r="J73" s="1" t="str">
        <f t="shared" si="2"/>
        <v>No</v>
      </c>
      <c r="K73" s="1" t="str">
        <f t="shared" si="3"/>
        <v>Profit</v>
      </c>
    </row>
    <row r="74" spans="1:11" x14ac:dyDescent="0.25">
      <c r="A74" s="1">
        <v>1073</v>
      </c>
      <c r="B74" s="1" t="s">
        <v>60</v>
      </c>
      <c r="C74" s="1" t="s">
        <v>15</v>
      </c>
      <c r="D74" s="1" t="s">
        <v>16</v>
      </c>
      <c r="E74" s="1" t="s">
        <v>21</v>
      </c>
      <c r="F74" s="1" t="s">
        <v>18</v>
      </c>
      <c r="G74" s="1">
        <v>88152</v>
      </c>
      <c r="H74" s="1">
        <v>3</v>
      </c>
      <c r="I74" s="1">
        <v>3846</v>
      </c>
      <c r="J74" s="1" t="str">
        <f t="shared" si="2"/>
        <v>Yes</v>
      </c>
      <c r="K74" s="1" t="str">
        <f t="shared" si="3"/>
        <v>Profit</v>
      </c>
    </row>
    <row r="75" spans="1:11" x14ac:dyDescent="0.25">
      <c r="A75" s="1">
        <v>1074</v>
      </c>
      <c r="B75" s="1" t="s">
        <v>66</v>
      </c>
      <c r="C75" s="1" t="s">
        <v>20</v>
      </c>
      <c r="D75" s="1" t="s">
        <v>36</v>
      </c>
      <c r="E75" s="1" t="s">
        <v>12</v>
      </c>
      <c r="F75" s="1" t="s">
        <v>13</v>
      </c>
      <c r="G75" s="1">
        <v>22837</v>
      </c>
      <c r="H75" s="1">
        <v>3</v>
      </c>
      <c r="I75" s="1">
        <v>-2236</v>
      </c>
      <c r="J75" s="1" t="str">
        <f t="shared" si="2"/>
        <v>No</v>
      </c>
      <c r="K75" s="1" t="str">
        <f t="shared" si="3"/>
        <v>Loss</v>
      </c>
    </row>
    <row r="76" spans="1:11" x14ac:dyDescent="0.25">
      <c r="A76" s="1">
        <v>1075</v>
      </c>
      <c r="B76" s="1" t="s">
        <v>74</v>
      </c>
      <c r="C76" s="1" t="s">
        <v>15</v>
      </c>
      <c r="D76" s="1" t="s">
        <v>64</v>
      </c>
      <c r="E76" s="1" t="s">
        <v>17</v>
      </c>
      <c r="F76" s="1" t="s">
        <v>18</v>
      </c>
      <c r="G76" s="1">
        <v>18093</v>
      </c>
      <c r="H76" s="1">
        <v>3</v>
      </c>
      <c r="I76" s="1">
        <v>-1537</v>
      </c>
      <c r="J76" s="1" t="str">
        <f t="shared" si="2"/>
        <v>No</v>
      </c>
      <c r="K76" s="1" t="str">
        <f t="shared" si="3"/>
        <v>Loss</v>
      </c>
    </row>
    <row r="77" spans="1:11" x14ac:dyDescent="0.25">
      <c r="A77" s="1">
        <v>1076</v>
      </c>
      <c r="B77" s="1" t="s">
        <v>75</v>
      </c>
      <c r="C77" s="1" t="s">
        <v>35</v>
      </c>
      <c r="D77" s="1" t="s">
        <v>26</v>
      </c>
      <c r="E77" s="1" t="s">
        <v>32</v>
      </c>
      <c r="F77" s="1" t="s">
        <v>18</v>
      </c>
      <c r="G77" s="1">
        <v>27850</v>
      </c>
      <c r="H77" s="1">
        <v>2</v>
      </c>
      <c r="I77" s="1">
        <v>380</v>
      </c>
      <c r="J77" s="1" t="str">
        <f t="shared" si="2"/>
        <v>No</v>
      </c>
      <c r="K77" s="1" t="str">
        <f t="shared" si="3"/>
        <v>Profit</v>
      </c>
    </row>
    <row r="78" spans="1:11" x14ac:dyDescent="0.25">
      <c r="A78" s="1">
        <v>1077</v>
      </c>
      <c r="B78" s="1" t="s">
        <v>66</v>
      </c>
      <c r="C78" s="1" t="s">
        <v>35</v>
      </c>
      <c r="D78" s="1" t="s">
        <v>40</v>
      </c>
      <c r="E78" s="1" t="s">
        <v>21</v>
      </c>
      <c r="F78" s="1" t="s">
        <v>18</v>
      </c>
      <c r="G78" s="1">
        <v>82160</v>
      </c>
      <c r="H78" s="1">
        <v>1</v>
      </c>
      <c r="I78" s="1">
        <v>12575</v>
      </c>
      <c r="J78" s="1" t="str">
        <f t="shared" si="2"/>
        <v>Yes</v>
      </c>
      <c r="K78" s="1" t="str">
        <f t="shared" si="3"/>
        <v>Profit</v>
      </c>
    </row>
    <row r="79" spans="1:11" x14ac:dyDescent="0.25">
      <c r="A79" s="1">
        <v>1078</v>
      </c>
      <c r="B79" s="1" t="s">
        <v>76</v>
      </c>
      <c r="C79" s="1" t="s">
        <v>10</v>
      </c>
      <c r="D79" s="1" t="s">
        <v>23</v>
      </c>
      <c r="E79" s="1" t="s">
        <v>32</v>
      </c>
      <c r="F79" s="1" t="s">
        <v>18</v>
      </c>
      <c r="G79" s="1">
        <v>49830</v>
      </c>
      <c r="H79" s="1">
        <v>2</v>
      </c>
      <c r="I79" s="1">
        <v>12853</v>
      </c>
      <c r="J79" s="1" t="str">
        <f t="shared" si="2"/>
        <v>Yes</v>
      </c>
      <c r="K79" s="1" t="str">
        <f t="shared" si="3"/>
        <v>Profit</v>
      </c>
    </row>
    <row r="80" spans="1:11" x14ac:dyDescent="0.25">
      <c r="A80" s="1">
        <v>1079</v>
      </c>
      <c r="B80" s="1" t="s">
        <v>77</v>
      </c>
      <c r="C80" s="1" t="s">
        <v>20</v>
      </c>
      <c r="D80" s="1" t="s">
        <v>31</v>
      </c>
      <c r="E80" s="1" t="s">
        <v>12</v>
      </c>
      <c r="F80" s="1" t="s">
        <v>13</v>
      </c>
      <c r="G80" s="1">
        <v>89856</v>
      </c>
      <c r="H80" s="1">
        <v>3</v>
      </c>
      <c r="I80" s="1">
        <v>-7671</v>
      </c>
      <c r="J80" s="1" t="str">
        <f t="shared" si="2"/>
        <v>Yes</v>
      </c>
      <c r="K80" s="1" t="str">
        <f t="shared" si="3"/>
        <v>Loss</v>
      </c>
    </row>
    <row r="81" spans="1:11" x14ac:dyDescent="0.25">
      <c r="A81" s="1">
        <v>1080</v>
      </c>
      <c r="B81" s="1" t="s">
        <v>78</v>
      </c>
      <c r="C81" s="1" t="s">
        <v>10</v>
      </c>
      <c r="D81" s="1" t="s">
        <v>53</v>
      </c>
      <c r="E81" s="1" t="s">
        <v>17</v>
      </c>
      <c r="F81" s="1" t="s">
        <v>18</v>
      </c>
      <c r="G81" s="1">
        <v>74560</v>
      </c>
      <c r="H81" s="1">
        <v>2</v>
      </c>
      <c r="I81" s="1">
        <v>-513</v>
      </c>
      <c r="J81" s="1" t="str">
        <f t="shared" si="2"/>
        <v>Yes</v>
      </c>
      <c r="K81" s="1" t="str">
        <f t="shared" si="3"/>
        <v>Loss</v>
      </c>
    </row>
    <row r="82" spans="1:11" x14ac:dyDescent="0.25">
      <c r="A82" s="1">
        <v>1081</v>
      </c>
      <c r="B82" s="1" t="s">
        <v>59</v>
      </c>
      <c r="C82" s="1" t="s">
        <v>35</v>
      </c>
      <c r="D82" s="1" t="s">
        <v>11</v>
      </c>
      <c r="E82" s="1" t="s">
        <v>32</v>
      </c>
      <c r="F82" s="1" t="s">
        <v>18</v>
      </c>
      <c r="G82" s="1">
        <v>44176</v>
      </c>
      <c r="H82" s="1">
        <v>2</v>
      </c>
      <c r="I82" s="1">
        <v>7873</v>
      </c>
      <c r="J82" s="1" t="str">
        <f t="shared" si="2"/>
        <v>Yes</v>
      </c>
      <c r="K82" s="1" t="str">
        <f t="shared" si="3"/>
        <v>Profit</v>
      </c>
    </row>
    <row r="83" spans="1:11" x14ac:dyDescent="0.25">
      <c r="A83" s="1">
        <v>1082</v>
      </c>
      <c r="B83" s="1" t="s">
        <v>78</v>
      </c>
      <c r="C83" s="1" t="s">
        <v>15</v>
      </c>
      <c r="D83" s="1" t="s">
        <v>11</v>
      </c>
      <c r="E83" s="1" t="s">
        <v>32</v>
      </c>
      <c r="F83" s="1" t="s">
        <v>18</v>
      </c>
      <c r="G83" s="1">
        <v>82741</v>
      </c>
      <c r="H83" s="1">
        <v>1</v>
      </c>
      <c r="I83" s="1">
        <v>-3933</v>
      </c>
      <c r="J83" s="1" t="str">
        <f t="shared" si="2"/>
        <v>Yes</v>
      </c>
      <c r="K83" s="1" t="str">
        <f t="shared" si="3"/>
        <v>Loss</v>
      </c>
    </row>
    <row r="84" spans="1:11" x14ac:dyDescent="0.25">
      <c r="A84" s="1">
        <v>1083</v>
      </c>
      <c r="B84" s="1" t="s">
        <v>42</v>
      </c>
      <c r="C84" s="1" t="s">
        <v>10</v>
      </c>
      <c r="D84" s="1" t="s">
        <v>40</v>
      </c>
      <c r="E84" s="1" t="s">
        <v>32</v>
      </c>
      <c r="F84" s="1" t="s">
        <v>18</v>
      </c>
      <c r="G84" s="1">
        <v>25093</v>
      </c>
      <c r="H84" s="1">
        <v>1</v>
      </c>
      <c r="I84" s="1">
        <v>1812</v>
      </c>
      <c r="J84" s="1" t="str">
        <f t="shared" si="2"/>
        <v>No</v>
      </c>
      <c r="K84" s="1" t="str">
        <f t="shared" si="3"/>
        <v>Profit</v>
      </c>
    </row>
    <row r="85" spans="1:11" x14ac:dyDescent="0.25">
      <c r="A85" s="1">
        <v>1084</v>
      </c>
      <c r="B85" s="1" t="s">
        <v>60</v>
      </c>
      <c r="C85" s="1" t="s">
        <v>10</v>
      </c>
      <c r="D85" s="1" t="s">
        <v>40</v>
      </c>
      <c r="E85" s="1" t="s">
        <v>17</v>
      </c>
      <c r="F85" s="1" t="s">
        <v>18</v>
      </c>
      <c r="G85" s="1">
        <v>24574</v>
      </c>
      <c r="H85" s="1">
        <v>1</v>
      </c>
      <c r="I85" s="1">
        <v>-1078</v>
      </c>
      <c r="J85" s="1" t="str">
        <f t="shared" si="2"/>
        <v>No</v>
      </c>
      <c r="K85" s="1" t="str">
        <f t="shared" si="3"/>
        <v>Loss</v>
      </c>
    </row>
    <row r="86" spans="1:11" x14ac:dyDescent="0.25">
      <c r="A86" s="1">
        <v>1085</v>
      </c>
      <c r="B86" s="1" t="s">
        <v>25</v>
      </c>
      <c r="C86" s="1" t="s">
        <v>20</v>
      </c>
      <c r="D86" s="1" t="s">
        <v>29</v>
      </c>
      <c r="E86" s="1" t="s">
        <v>17</v>
      </c>
      <c r="F86" s="1" t="s">
        <v>18</v>
      </c>
      <c r="G86" s="1">
        <v>42368</v>
      </c>
      <c r="H86" s="1">
        <v>1</v>
      </c>
      <c r="I86" s="1">
        <v>-3150</v>
      </c>
      <c r="J86" s="1" t="str">
        <f t="shared" si="2"/>
        <v>Yes</v>
      </c>
      <c r="K86" s="1" t="str">
        <f t="shared" si="3"/>
        <v>Loss</v>
      </c>
    </row>
    <row r="87" spans="1:11" x14ac:dyDescent="0.25">
      <c r="A87" s="1">
        <v>1086</v>
      </c>
      <c r="B87" s="1" t="s">
        <v>72</v>
      </c>
      <c r="C87" s="1" t="s">
        <v>35</v>
      </c>
      <c r="D87" s="1" t="s">
        <v>11</v>
      </c>
      <c r="E87" s="1" t="s">
        <v>27</v>
      </c>
      <c r="F87" s="1" t="s">
        <v>13</v>
      </c>
      <c r="G87" s="1">
        <v>72501</v>
      </c>
      <c r="H87" s="1">
        <v>2</v>
      </c>
      <c r="I87" s="1">
        <v>20740</v>
      </c>
      <c r="J87" s="1" t="str">
        <f t="shared" si="2"/>
        <v>Yes</v>
      </c>
      <c r="K87" s="1" t="str">
        <f t="shared" si="3"/>
        <v>Profit</v>
      </c>
    </row>
    <row r="88" spans="1:11" x14ac:dyDescent="0.25">
      <c r="A88" s="1">
        <v>1087</v>
      </c>
      <c r="B88" s="1" t="s">
        <v>46</v>
      </c>
      <c r="C88" s="1" t="s">
        <v>35</v>
      </c>
      <c r="D88" s="1" t="s">
        <v>31</v>
      </c>
      <c r="E88" s="1" t="s">
        <v>21</v>
      </c>
      <c r="F88" s="1" t="s">
        <v>18</v>
      </c>
      <c r="G88" s="1">
        <v>27924</v>
      </c>
      <c r="H88" s="1">
        <v>1</v>
      </c>
      <c r="I88" s="1">
        <v>-1636</v>
      </c>
      <c r="J88" s="1" t="str">
        <f t="shared" si="2"/>
        <v>No</v>
      </c>
      <c r="K88" s="1" t="str">
        <f t="shared" si="3"/>
        <v>Loss</v>
      </c>
    </row>
    <row r="89" spans="1:11" x14ac:dyDescent="0.25">
      <c r="A89" s="1">
        <v>1088</v>
      </c>
      <c r="B89" s="1" t="s">
        <v>74</v>
      </c>
      <c r="C89" s="1" t="s">
        <v>20</v>
      </c>
      <c r="D89" s="1" t="s">
        <v>64</v>
      </c>
      <c r="E89" s="1" t="s">
        <v>24</v>
      </c>
      <c r="F89" s="1" t="s">
        <v>13</v>
      </c>
      <c r="G89" s="1">
        <v>75825</v>
      </c>
      <c r="H89" s="1">
        <v>1</v>
      </c>
      <c r="I89" s="1">
        <v>12</v>
      </c>
      <c r="J89" s="1" t="str">
        <f t="shared" si="2"/>
        <v>Yes</v>
      </c>
      <c r="K89" s="1" t="str">
        <f t="shared" si="3"/>
        <v>Profit</v>
      </c>
    </row>
    <row r="90" spans="1:11" x14ac:dyDescent="0.25">
      <c r="A90" s="1">
        <v>1089</v>
      </c>
      <c r="B90" s="1" t="s">
        <v>79</v>
      </c>
      <c r="C90" s="1" t="s">
        <v>10</v>
      </c>
      <c r="D90" s="1" t="s">
        <v>53</v>
      </c>
      <c r="E90" s="1" t="s">
        <v>12</v>
      </c>
      <c r="F90" s="1" t="s">
        <v>13</v>
      </c>
      <c r="G90" s="1">
        <v>33092</v>
      </c>
      <c r="H90" s="1">
        <v>1</v>
      </c>
      <c r="I90" s="1">
        <v>4605</v>
      </c>
      <c r="J90" s="1" t="str">
        <f t="shared" si="2"/>
        <v>Yes</v>
      </c>
      <c r="K90" s="1" t="str">
        <f t="shared" si="3"/>
        <v>Profit</v>
      </c>
    </row>
    <row r="91" spans="1:11" x14ac:dyDescent="0.25">
      <c r="A91" s="1">
        <v>1090</v>
      </c>
      <c r="B91" s="1" t="s">
        <v>47</v>
      </c>
      <c r="C91" s="1" t="s">
        <v>15</v>
      </c>
      <c r="D91" s="1" t="s">
        <v>53</v>
      </c>
      <c r="E91" s="1" t="s">
        <v>27</v>
      </c>
      <c r="F91" s="1" t="s">
        <v>13</v>
      </c>
      <c r="G91" s="1">
        <v>12466</v>
      </c>
      <c r="H91" s="1">
        <v>1</v>
      </c>
      <c r="I91" s="1">
        <v>1710</v>
      </c>
      <c r="J91" s="1" t="str">
        <f t="shared" si="2"/>
        <v>No</v>
      </c>
      <c r="K91" s="1" t="str">
        <f t="shared" si="3"/>
        <v>Profit</v>
      </c>
    </row>
    <row r="92" spans="1:11" x14ac:dyDescent="0.25">
      <c r="A92" s="1">
        <v>1091</v>
      </c>
      <c r="B92" s="1" t="s">
        <v>76</v>
      </c>
      <c r="C92" s="1" t="s">
        <v>35</v>
      </c>
      <c r="D92" s="1" t="s">
        <v>11</v>
      </c>
      <c r="E92" s="1" t="s">
        <v>21</v>
      </c>
      <c r="F92" s="1" t="s">
        <v>18</v>
      </c>
      <c r="G92" s="1">
        <v>58924</v>
      </c>
      <c r="H92" s="1">
        <v>1</v>
      </c>
      <c r="I92" s="1">
        <v>12840</v>
      </c>
      <c r="J92" s="1" t="str">
        <f t="shared" si="2"/>
        <v>Yes</v>
      </c>
      <c r="K92" s="1" t="str">
        <f t="shared" si="3"/>
        <v>Profit</v>
      </c>
    </row>
    <row r="93" spans="1:11" x14ac:dyDescent="0.25">
      <c r="A93" s="1">
        <v>1092</v>
      </c>
      <c r="B93" s="1" t="s">
        <v>70</v>
      </c>
      <c r="C93" s="1" t="s">
        <v>35</v>
      </c>
      <c r="D93" s="1" t="s">
        <v>11</v>
      </c>
      <c r="E93" s="1" t="s">
        <v>24</v>
      </c>
      <c r="F93" s="1" t="s">
        <v>13</v>
      </c>
      <c r="G93" s="1">
        <v>40065</v>
      </c>
      <c r="H93" s="1">
        <v>2</v>
      </c>
      <c r="I93" s="1">
        <v>8136</v>
      </c>
      <c r="J93" s="1" t="str">
        <f t="shared" si="2"/>
        <v>Yes</v>
      </c>
      <c r="K93" s="1" t="str">
        <f t="shared" si="3"/>
        <v>Profit</v>
      </c>
    </row>
    <row r="94" spans="1:11" x14ac:dyDescent="0.25">
      <c r="A94" s="1">
        <v>1093</v>
      </c>
      <c r="B94" s="1" t="s">
        <v>72</v>
      </c>
      <c r="C94" s="1" t="s">
        <v>20</v>
      </c>
      <c r="D94" s="1" t="s">
        <v>53</v>
      </c>
      <c r="E94" s="1" t="s">
        <v>17</v>
      </c>
      <c r="F94" s="1" t="s">
        <v>18</v>
      </c>
      <c r="G94" s="1">
        <v>32229</v>
      </c>
      <c r="H94" s="1">
        <v>3</v>
      </c>
      <c r="I94" s="1">
        <v>7173</v>
      </c>
      <c r="J94" s="1" t="str">
        <f t="shared" si="2"/>
        <v>Yes</v>
      </c>
      <c r="K94" s="1" t="str">
        <f t="shared" si="3"/>
        <v>Profit</v>
      </c>
    </row>
    <row r="95" spans="1:11" x14ac:dyDescent="0.25">
      <c r="A95" s="1">
        <v>1094</v>
      </c>
      <c r="B95" s="1" t="s">
        <v>73</v>
      </c>
      <c r="C95" s="1" t="s">
        <v>20</v>
      </c>
      <c r="D95" s="1" t="s">
        <v>31</v>
      </c>
      <c r="E95" s="1" t="s">
        <v>12</v>
      </c>
      <c r="F95" s="1" t="s">
        <v>13</v>
      </c>
      <c r="G95" s="1">
        <v>51043</v>
      </c>
      <c r="H95" s="1">
        <v>3</v>
      </c>
      <c r="I95" s="1">
        <v>-1897</v>
      </c>
      <c r="J95" s="1" t="str">
        <f t="shared" si="2"/>
        <v>Yes</v>
      </c>
      <c r="K95" s="1" t="str">
        <f t="shared" si="3"/>
        <v>Loss</v>
      </c>
    </row>
    <row r="96" spans="1:11" x14ac:dyDescent="0.25">
      <c r="A96" s="1">
        <v>1095</v>
      </c>
      <c r="B96" s="1" t="s">
        <v>44</v>
      </c>
      <c r="C96" s="1" t="s">
        <v>35</v>
      </c>
      <c r="D96" s="1" t="s">
        <v>11</v>
      </c>
      <c r="E96" s="1" t="s">
        <v>32</v>
      </c>
      <c r="F96" s="1" t="s">
        <v>18</v>
      </c>
      <c r="G96" s="1">
        <v>35679</v>
      </c>
      <c r="H96" s="1">
        <v>3</v>
      </c>
      <c r="I96" s="1">
        <v>-234</v>
      </c>
      <c r="J96" s="1" t="str">
        <f t="shared" si="2"/>
        <v>Yes</v>
      </c>
      <c r="K96" s="1" t="str">
        <f t="shared" si="3"/>
        <v>Loss</v>
      </c>
    </row>
    <row r="97" spans="1:11" x14ac:dyDescent="0.25">
      <c r="A97" s="1">
        <v>1096</v>
      </c>
      <c r="B97" s="1" t="s">
        <v>49</v>
      </c>
      <c r="C97" s="1" t="s">
        <v>15</v>
      </c>
      <c r="D97" s="1" t="s">
        <v>53</v>
      </c>
      <c r="E97" s="1" t="s">
        <v>32</v>
      </c>
      <c r="F97" s="1" t="s">
        <v>18</v>
      </c>
      <c r="G97" s="1">
        <v>64872</v>
      </c>
      <c r="H97" s="1">
        <v>2</v>
      </c>
      <c r="I97" s="1">
        <v>3487</v>
      </c>
      <c r="J97" s="1" t="str">
        <f t="shared" si="2"/>
        <v>Yes</v>
      </c>
      <c r="K97" s="1" t="str">
        <f t="shared" si="3"/>
        <v>Profit</v>
      </c>
    </row>
    <row r="98" spans="1:11" x14ac:dyDescent="0.25">
      <c r="A98" s="1">
        <v>1097</v>
      </c>
      <c r="B98" s="1" t="s">
        <v>49</v>
      </c>
      <c r="C98" s="1" t="s">
        <v>15</v>
      </c>
      <c r="D98" s="1" t="s">
        <v>29</v>
      </c>
      <c r="E98" s="1" t="s">
        <v>32</v>
      </c>
      <c r="F98" s="1" t="s">
        <v>18</v>
      </c>
      <c r="G98" s="1">
        <v>81858</v>
      </c>
      <c r="H98" s="1">
        <v>3</v>
      </c>
      <c r="I98" s="1">
        <v>-4551</v>
      </c>
      <c r="J98" s="1" t="str">
        <f t="shared" si="2"/>
        <v>Yes</v>
      </c>
      <c r="K98" s="1" t="str">
        <f t="shared" si="3"/>
        <v>Loss</v>
      </c>
    </row>
    <row r="99" spans="1:11" x14ac:dyDescent="0.25">
      <c r="A99" s="1">
        <v>1098</v>
      </c>
      <c r="B99" s="1" t="s">
        <v>73</v>
      </c>
      <c r="C99" s="1" t="s">
        <v>15</v>
      </c>
      <c r="D99" s="1" t="s">
        <v>16</v>
      </c>
      <c r="E99" s="1" t="s">
        <v>21</v>
      </c>
      <c r="F99" s="1" t="s">
        <v>18</v>
      </c>
      <c r="G99" s="1">
        <v>52093</v>
      </c>
      <c r="H99" s="1">
        <v>1</v>
      </c>
      <c r="I99" s="1">
        <v>11560</v>
      </c>
      <c r="J99" s="1" t="str">
        <f t="shared" si="2"/>
        <v>Yes</v>
      </c>
      <c r="K99" s="1" t="str">
        <f t="shared" si="3"/>
        <v>Profit</v>
      </c>
    </row>
    <row r="100" spans="1:11" x14ac:dyDescent="0.25">
      <c r="A100" s="1">
        <v>1099</v>
      </c>
      <c r="B100" s="1" t="s">
        <v>80</v>
      </c>
      <c r="C100" s="1" t="s">
        <v>20</v>
      </c>
      <c r="D100" s="1" t="s">
        <v>29</v>
      </c>
      <c r="E100" s="1" t="s">
        <v>32</v>
      </c>
      <c r="F100" s="1" t="s">
        <v>18</v>
      </c>
      <c r="G100" s="1">
        <v>82949</v>
      </c>
      <c r="H100" s="1">
        <v>2</v>
      </c>
      <c r="I100" s="1">
        <v>-1055</v>
      </c>
      <c r="J100" s="1" t="str">
        <f t="shared" si="2"/>
        <v>Yes</v>
      </c>
      <c r="K100" s="1" t="str">
        <f t="shared" si="3"/>
        <v>Loss</v>
      </c>
    </row>
    <row r="101" spans="1:11" x14ac:dyDescent="0.25">
      <c r="A101" s="1">
        <v>1100</v>
      </c>
      <c r="B101" s="1" t="s">
        <v>9</v>
      </c>
      <c r="C101" s="1" t="s">
        <v>35</v>
      </c>
      <c r="D101" s="1" t="s">
        <v>36</v>
      </c>
      <c r="E101" s="1" t="s">
        <v>12</v>
      </c>
      <c r="F101" s="1" t="s">
        <v>13</v>
      </c>
      <c r="G101" s="1">
        <v>55448</v>
      </c>
      <c r="H101" s="1">
        <v>3</v>
      </c>
      <c r="I101" s="1">
        <v>14994</v>
      </c>
      <c r="J101" s="1" t="str">
        <f t="shared" si="2"/>
        <v>Yes</v>
      </c>
      <c r="K101" s="1" t="str">
        <f t="shared" si="3"/>
        <v>Profit</v>
      </c>
    </row>
    <row r="102" spans="1:11" x14ac:dyDescent="0.25">
      <c r="A102" s="24" t="s">
        <v>82</v>
      </c>
      <c r="B102" s="24"/>
      <c r="C102" s="24"/>
      <c r="D102" s="24"/>
      <c r="E102" s="24"/>
      <c r="F102" s="24"/>
      <c r="G102" s="2">
        <f>SUM(G2:G101)</f>
        <v>4816577</v>
      </c>
      <c r="H102" s="4"/>
      <c r="I102" s="4"/>
      <c r="J102" s="4"/>
      <c r="K102" s="4"/>
    </row>
    <row r="103" spans="1:11" x14ac:dyDescent="0.25">
      <c r="A103" s="24" t="s">
        <v>83</v>
      </c>
      <c r="B103" s="24"/>
      <c r="C103" s="24"/>
      <c r="D103" s="24"/>
      <c r="E103" s="24"/>
      <c r="F103" s="24"/>
      <c r="G103" s="2">
        <f>SUM(I2:I101)</f>
        <v>382408</v>
      </c>
      <c r="H103" s="24" t="s">
        <v>88</v>
      </c>
      <c r="I103" s="24"/>
      <c r="J103" s="24"/>
      <c r="K103" s="11">
        <f>COUNTIF(J2:J101, "No")</f>
        <v>34</v>
      </c>
    </row>
    <row r="104" spans="1:11" x14ac:dyDescent="0.25">
      <c r="A104" s="24" t="s">
        <v>84</v>
      </c>
      <c r="B104" s="24"/>
      <c r="C104" s="24"/>
      <c r="D104" s="24"/>
      <c r="E104" s="24"/>
      <c r="F104" s="24"/>
      <c r="G104" s="2">
        <f>SUM(G102:G103)</f>
        <v>5198985</v>
      </c>
      <c r="H104" s="4"/>
      <c r="I104" s="4"/>
      <c r="J104" s="4"/>
      <c r="K104" s="4"/>
    </row>
    <row r="105" spans="1:11" x14ac:dyDescent="0.25">
      <c r="A105" s="26"/>
      <c r="B105" s="26"/>
      <c r="C105" s="26"/>
      <c r="D105" s="26"/>
      <c r="E105" s="26"/>
      <c r="F105" s="26"/>
    </row>
    <row r="106" spans="1:11" x14ac:dyDescent="0.25">
      <c r="B106" s="8" t="s">
        <v>85</v>
      </c>
      <c r="C106" s="1" t="s">
        <v>87</v>
      </c>
      <c r="E106" s="8" t="s">
        <v>3</v>
      </c>
      <c r="F106" s="1" t="s">
        <v>87</v>
      </c>
      <c r="H106" s="25" t="s">
        <v>89</v>
      </c>
      <c r="I106" s="25"/>
    </row>
    <row r="107" spans="1:11" x14ac:dyDescent="0.25">
      <c r="B107" s="9" t="s">
        <v>10</v>
      </c>
      <c r="C107" s="10">
        <v>1145485</v>
      </c>
      <c r="E107" s="9" t="s">
        <v>11</v>
      </c>
      <c r="F107" s="10">
        <v>942568</v>
      </c>
      <c r="H107" s="9" t="s">
        <v>11</v>
      </c>
      <c r="I107" s="10">
        <v>942568</v>
      </c>
    </row>
    <row r="108" spans="1:11" x14ac:dyDescent="0.25">
      <c r="B108" s="9" t="s">
        <v>15</v>
      </c>
      <c r="C108" s="10">
        <v>1227117</v>
      </c>
      <c r="E108" s="9" t="s">
        <v>31</v>
      </c>
      <c r="F108" s="10">
        <v>596696</v>
      </c>
      <c r="H108" s="9" t="s">
        <v>31</v>
      </c>
      <c r="I108" s="10">
        <v>596696</v>
      </c>
    </row>
    <row r="109" spans="1:11" x14ac:dyDescent="0.25">
      <c r="B109" s="9" t="s">
        <v>20</v>
      </c>
      <c r="C109" s="10">
        <v>1134016</v>
      </c>
      <c r="E109" s="9" t="s">
        <v>40</v>
      </c>
      <c r="F109" s="10">
        <v>538299</v>
      </c>
      <c r="H109" s="9" t="s">
        <v>40</v>
      </c>
      <c r="I109" s="10">
        <v>538299</v>
      </c>
    </row>
    <row r="110" spans="1:11" x14ac:dyDescent="0.25">
      <c r="B110" s="9" t="s">
        <v>35</v>
      </c>
      <c r="C110" s="10">
        <v>1309959</v>
      </c>
      <c r="E110" s="9" t="s">
        <v>53</v>
      </c>
      <c r="F110" s="10">
        <v>508000</v>
      </c>
    </row>
    <row r="111" spans="1:11" x14ac:dyDescent="0.25">
      <c r="B111" s="9" t="s">
        <v>86</v>
      </c>
      <c r="C111" s="10">
        <v>4816577</v>
      </c>
      <c r="E111" s="9" t="s">
        <v>16</v>
      </c>
      <c r="F111" s="10">
        <v>497681</v>
      </c>
    </row>
    <row r="112" spans="1:11" x14ac:dyDescent="0.25">
      <c r="E112" s="9" t="s">
        <v>23</v>
      </c>
      <c r="F112" s="10">
        <v>478399</v>
      </c>
    </row>
    <row r="113" spans="5:6" x14ac:dyDescent="0.25">
      <c r="E113" s="9" t="s">
        <v>29</v>
      </c>
      <c r="F113" s="10">
        <v>392472</v>
      </c>
    </row>
    <row r="114" spans="5:6" x14ac:dyDescent="0.25">
      <c r="E114" s="9" t="s">
        <v>64</v>
      </c>
      <c r="F114" s="10">
        <v>364348</v>
      </c>
    </row>
    <row r="115" spans="5:6" x14ac:dyDescent="0.25">
      <c r="E115" s="9" t="s">
        <v>26</v>
      </c>
      <c r="F115" s="10">
        <v>266810</v>
      </c>
    </row>
    <row r="116" spans="5:6" x14ac:dyDescent="0.25">
      <c r="E116" s="9" t="s">
        <v>36</v>
      </c>
      <c r="F116" s="10">
        <v>231304</v>
      </c>
    </row>
    <row r="117" spans="5:6" x14ac:dyDescent="0.25">
      <c r="E117" s="9" t="s">
        <v>86</v>
      </c>
      <c r="F117" s="10">
        <v>4816577</v>
      </c>
    </row>
  </sheetData>
  <autoFilter ref="C1:C101"/>
  <mergeCells count="6">
    <mergeCell ref="A102:F102"/>
    <mergeCell ref="A103:F103"/>
    <mergeCell ref="A104:F104"/>
    <mergeCell ref="H103:J103"/>
    <mergeCell ref="H106:I106"/>
    <mergeCell ref="A105:F105"/>
  </mergeCells>
  <pageMargins left="0.75" right="0.75" top="1" bottom="1" header="0.5" footer="0.5"/>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Ecommerce_Data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Navin Ravanan</cp:lastModifiedBy>
  <dcterms:created xsi:type="dcterms:W3CDTF">2026-03-29T13:49:31Z</dcterms:created>
  <dcterms:modified xsi:type="dcterms:W3CDTF">2026-04-28T17:32:10Z</dcterms:modified>
</cp:coreProperties>
</file>